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ier Model" sheetId="2" state="visible" r:id="rId4"/>
    <sheet name="Partner Tiers" sheetId="3" state="visible" r:id="rId5"/>
    <sheet name="Bulk Tier" sheetId="4" state="visible" r:id="rId6"/>
    <sheet name="Results" sheetId="5" state="visible" r:id="rId7"/>
    <sheet name="Dashboard" sheetId="6" state="visible" r:id="rId8"/>
    <sheet name="READM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<sst xmlns="http://schemas.openxmlformats.org/spreadsheetml/2006/main" count="417" uniqueCount="323">
  <si>
    <t xml:space="preserve">ASSUMPTIONS — edit any yellow cell. Model recalculates everywhere.</t>
  </si>
  <si>
    <t xml:space="preserve">All inputs are tuneable. Cells with yellow background are editable. White cells are computed.</t>
  </si>
  <si>
    <t xml:space="preserve">Creator subscription tier MIX (% of registered creators)</t>
  </si>
  <si>
    <t xml:space="preserve">Maker share</t>
  </si>
  <si>
    <t xml:space="preserve">Builder share</t>
  </si>
  <si>
    <t xml:space="preserve">Agency share</t>
  </si>
  <si>
    <t xml:space="preserve">  Sum check</t>
  </si>
  <si>
    <t xml:space="preserve">Activation rate per tier (% who order monthly)</t>
  </si>
  <si>
    <t xml:space="preserve">Maker activation</t>
  </si>
  <si>
    <t xml:space="preserve">Conservative override</t>
  </si>
  <si>
    <t xml:space="preserve">Builder activation</t>
  </si>
  <si>
    <t xml:space="preserve">Agency activation</t>
  </si>
  <si>
    <t xml:space="preserve">On-demand orders per active creator per month</t>
  </si>
  <si>
    <t xml:space="preserve">Maker orders/mo</t>
  </si>
  <si>
    <t xml:space="preserve">Conservative</t>
  </si>
  <si>
    <t xml:space="preserve">Builder orders/mo</t>
  </si>
  <si>
    <t xml:space="preserve">Agency orders/mo</t>
  </si>
  <si>
    <t xml:space="preserve">Bulk orders — runs/mo + avg run size</t>
  </si>
  <si>
    <t xml:space="preserve">Maker bulk runs/mo</t>
  </si>
  <si>
    <t xml:space="preserve">size</t>
  </si>
  <si>
    <t xml:space="preserve">Conservative runs</t>
  </si>
  <si>
    <t xml:space="preserve">Builder bulk runs/mo</t>
  </si>
  <si>
    <t xml:space="preserve">Agency bulk runs/mo</t>
  </si>
  <si>
    <t xml:space="preserve">Subscription pricing (monthly)</t>
  </si>
  <si>
    <t xml:space="preserve">Builder $/mo (original $49 → rebuilt $79)</t>
  </si>
  <si>
    <t xml:space="preserve">Agency $/mo (original $199 → rebuilt $249)</t>
  </si>
  <si>
    <t xml:space="preserve">Velocity-tier fee % (subscription × velocity tier matrix)</t>
  </si>
  <si>
    <t xml:space="preserve">Tier</t>
  </si>
  <si>
    <t xml:space="preserve">Volume</t>
  </si>
  <si>
    <t xml:space="preserve">Maker</t>
  </si>
  <si>
    <t xml:space="preserve">Builder</t>
  </si>
  <si>
    <t xml:space="preserve">Agency</t>
  </si>
  <si>
    <t xml:space="preserve">Tier 1</t>
  </si>
  <si>
    <t xml:space="preserve">0-50</t>
  </si>
  <si>
    <t xml:space="preserve">Tier 2</t>
  </si>
  <si>
    <t xml:space="preserve">51-200</t>
  </si>
  <si>
    <t xml:space="preserve">Tier 3</t>
  </si>
  <si>
    <t xml:space="preserve">201-500</t>
  </si>
  <si>
    <t xml:space="preserve">Tier 4</t>
  </si>
  <si>
    <t xml:space="preserve">501-1000</t>
  </si>
  <si>
    <t xml:space="preserve">Tier 5</t>
  </si>
  <si>
    <t xml:space="preserve">1000+</t>
  </si>
  <si>
    <t xml:space="preserve">Velocity tier DISTRIBUTION (% of active creators per sub tier)</t>
  </si>
  <si>
    <t xml:space="preserve">Order economics</t>
  </si>
  <si>
    <t xml:space="preserve">On-demand retail AOV</t>
  </si>
  <si>
    <t xml:space="preserve">On-demand partner wholesale</t>
  </si>
  <si>
    <t xml:space="preserve">On-demand shipping est</t>
  </si>
  <si>
    <t xml:space="preserve">Bulk partner wholesale / unit</t>
  </si>
  <si>
    <t xml:space="preserve">Partner-side platform fee (% of partner wholesale)</t>
  </si>
  <si>
    <t xml:space="preserve">Verified fee</t>
  </si>
  <si>
    <t xml:space="preserve">Trusted fee</t>
  </si>
  <si>
    <t xml:space="preserve">Anchor fee (was Premier)</t>
  </si>
  <si>
    <t xml:space="preserve">Partner tier mix — Verified</t>
  </si>
  <si>
    <t xml:space="preserve">Partner tier mix — Trusted</t>
  </si>
  <si>
    <t xml:space="preserve">Partner tier mix — Anchor</t>
  </si>
  <si>
    <t xml:space="preserve">Creators per partner</t>
  </si>
  <si>
    <t xml:space="preserve">Variable + fixed costs</t>
  </si>
  <si>
    <t xml:space="preserve">Stripe % per tx</t>
  </si>
  <si>
    <t xml:space="preserve">Stripe flat $ per tx</t>
  </si>
  <si>
    <t xml:space="preserve">AI parser cost / parse (USD)</t>
  </si>
  <si>
    <t xml:space="preserve">AI parses / Builder / mo</t>
  </si>
  <si>
    <t xml:space="preserve">AI parses / Agency / mo</t>
  </si>
  <si>
    <t xml:space="preserve">Shutterstock $/mo flat</t>
  </si>
  <si>
    <t xml:space="preserve">Fixed opex annual @ 100</t>
  </si>
  <si>
    <t xml:space="preserve">Fixed opex annual @ 1,000</t>
  </si>
  <si>
    <t xml:space="preserve">Fixed opex annual @ 10,000</t>
  </si>
  <si>
    <t xml:space="preserve">Fixed opex annual @ 30,000</t>
  </si>
  <si>
    <t xml:space="preserve">Scenario toggles</t>
  </si>
  <si>
    <t xml:space="preserve">Use Conservative demand? (1=yes, 0=no)</t>
  </si>
  <si>
    <t xml:space="preserve">Pricing uplift on velocity fees (percentage points)</t>
  </si>
  <si>
    <t xml:space="preserve">(0 = locked, 5 = +5pp, 10 = +10pp)</t>
  </si>
  <si>
    <t xml:space="preserve">Recommendations layer (each 0 or 1):</t>
  </si>
  <si>
    <t xml:space="preserve">Rec 1 — Engineered Maker→Builder upgrade triggers</t>
  </si>
  <si>
    <t xml:space="preserve">Rec 2 — Float income on held balances</t>
  </si>
  <si>
    <t xml:space="preserve">Rec 3 — Sub prices Builder $79 / Agency $249</t>
  </si>
  <si>
    <t xml:space="preserve">Rec 4 — Velocity floor at 5% (already in matrix)</t>
  </si>
  <si>
    <t xml:space="preserve">Rec 6 — Partner referral commission (-2% drag)</t>
  </si>
  <si>
    <t xml:space="preserve">Rec 7 — Premium AI overage ($1.50/gen)</t>
  </si>
  <si>
    <t xml:space="preserve">Rec 8 — Bulk escrow opt-in (0.5% × 40%)</t>
  </si>
  <si>
    <t xml:space="preserve">Recommendation parameters</t>
  </si>
  <si>
    <t xml:space="preserve">Float average days held</t>
  </si>
  <si>
    <t xml:space="preserve">Treasury annual rate</t>
  </si>
  <si>
    <t xml:space="preserve">Partner referral creator share</t>
  </si>
  <si>
    <t xml:space="preserve">Partner referral commission rate</t>
  </si>
  <si>
    <t xml:space="preserve">AI overage rate (% B+A over cap)</t>
  </si>
  <si>
    <t xml:space="preserve">AI overage gens / over-cap creator</t>
  </si>
  <si>
    <t xml:space="preserve">AI overage price / gen</t>
  </si>
  <si>
    <t xml:space="preserve">AI overage cost / gen</t>
  </si>
  <si>
    <t xml:space="preserve">Bulk escrow opt-in rate</t>
  </si>
  <si>
    <t xml:space="preserve">Bulk escrow fee %</t>
  </si>
  <si>
    <t xml:space="preserve">Rec 1 mix shift — Maker share</t>
  </si>
  <si>
    <t xml:space="preserve">Rec 1 mix shift — Builder share</t>
  </si>
  <si>
    <t xml:space="preserve">Rec 1 — Builder activation lift</t>
  </si>
  <si>
    <t xml:space="preserve">Rebuilt Tier Model — pricing references Assumptions sheet</t>
  </si>
  <si>
    <t xml:space="preserve">Monthly subscription</t>
  </si>
  <si>
    <t xml:space="preserve">Velocity Tier 1 fee</t>
  </si>
  <si>
    <t xml:space="preserve">Velocity Tier 2 fee</t>
  </si>
  <si>
    <t xml:space="preserve">Velocity Tier 3 fee</t>
  </si>
  <si>
    <t xml:space="preserve">Velocity Tier 4 fee (floor 5%)</t>
  </si>
  <si>
    <t xml:space="preserve">Velocity Tier 5 fee (floor 5%)</t>
  </si>
  <si>
    <t xml:space="preserve">Effective fee (vol-weighted)</t>
  </si>
  <si>
    <t xml:space="preserve">Bulk orders allowed</t>
  </si>
  <si>
    <t xml:space="preserve">YES</t>
  </si>
  <si>
    <t xml:space="preserve">On-demand orders allowed</t>
  </si>
  <si>
    <t xml:space="preserve">AI parser quota / mo</t>
  </si>
  <si>
    <t xml:space="preserve">—</t>
  </si>
  <si>
    <t xml:space="preserve">Brands per account</t>
  </si>
  <si>
    <t xml:space="preserve">1</t>
  </si>
  <si>
    <t xml:space="preserve">3</t>
  </si>
  <si>
    <t xml:space="preserve">Unlimited</t>
  </si>
  <si>
    <t xml:space="preserve">Partner tier ladder — Verified → Trusted → Anchor</t>
  </si>
  <si>
    <t xml:space="preserve">Three-step narrative arc: arrival → commitment → pillar. ALL THREE tiers FREE in V1.5 — no partner subscription anywhere. Tier progression is admin-promoted at every step based on performance. Lower per-order fee at higher tier is the reward. V2 may revisit subscription when advanced tools ship.</t>
  </si>
  <si>
    <t xml:space="preserve">Verified</t>
  </si>
  <si>
    <t xml:space="preserve">Trusted</t>
  </si>
  <si>
    <t xml:space="preserve">Anchor</t>
  </si>
  <si>
    <t xml:space="preserve">Tier means</t>
  </si>
  <si>
    <t xml:space="preserve">Arrival</t>
  </si>
  <si>
    <t xml:space="preserve">Commitment (earned)</t>
  </si>
  <si>
    <t xml:space="preserve">Pillar (earned)</t>
  </si>
  <si>
    <t xml:space="preserve">How to reach it</t>
  </si>
  <si>
    <t xml:space="preserve">Pass application + KYB</t>
  </si>
  <si>
    <t xml:space="preserve">Admin-promoted on performance</t>
  </si>
  <si>
    <t xml:space="preserve">Admin-promoted / invite-only</t>
  </si>
  <si>
    <t xml:space="preserve">Per-order fee % of partner wholesale</t>
  </si>
  <si>
    <t xml:space="preserve">Monthly subscription cost (V1.5)</t>
  </si>
  <si>
    <t xml:space="preserve">Self-serve onboarding</t>
  </si>
  <si>
    <t xml:space="preserve">Admin promotes</t>
  </si>
  <si>
    <t xml:space="preserve">Invite-only</t>
  </si>
  <si>
    <t xml:space="preserve">Basic Partner Product Builder</t>
  </si>
  <si>
    <t xml:space="preserve">Order accept/decline + payouts</t>
  </si>
  <si>
    <t xml:space="preserve">FDA compliance scan</t>
  </si>
  <si>
    <t xml:space="preserve">Marketplace placement boost</t>
  </si>
  <si>
    <t xml:space="preserve">Standard</t>
  </si>
  <si>
    <t xml:space="preserve">Modest</t>
  </si>
  <si>
    <t xml:space="preserve">Premium</t>
  </si>
  <si>
    <t xml:space="preserve">Marketplace badge</t>
  </si>
  <si>
    <t xml:space="preserve">Promotion criteria</t>
  </si>
  <si>
    <t xml:space="preserve">Pass app</t>
  </si>
  <si>
    <t xml:space="preserve">Volume + reliability + on-time</t>
  </si>
  <si>
    <t xml:space="preserve">Scale + strategic value</t>
  </si>
  <si>
    <t xml:space="preserve">V2 forward-pointer: advanced tools</t>
  </si>
  <si>
    <t xml:space="preserve">TBD — gate-by-tier OR sub overlay</t>
  </si>
  <si>
    <t xml:space="preserve">Tier mix assumption</t>
  </si>
  <si>
    <t xml:space="preserve">Volume-weighted partner fee % (avg)</t>
  </si>
  <si>
    <t xml:space="preserve">Example: 1,000-unit on-demand order @ $8 wholesale</t>
  </si>
  <si>
    <t xml:space="preserve">Partner wholesale revenue (gross)</t>
  </si>
  <si>
    <t xml:space="preserve">Verified partner fee (5%)</t>
  </si>
  <si>
    <t xml:space="preserve">Trusted partner fee (3.5%)</t>
  </si>
  <si>
    <t xml:space="preserve">Anchor partner fee (2%)</t>
  </si>
  <si>
    <t xml:space="preserve">Anchor net (highest take-home)</t>
  </si>
  <si>
    <t xml:space="preserve">Design principles (LOCKED 2026-06-04)</t>
  </si>
  <si>
    <t xml:space="preserve">1. Verified = arrival. Every approved partner starts free.</t>
  </si>
  <si>
    <t xml:space="preserve">2. Trusted = commitment, EARNED through track record. No subscription required.</t>
  </si>
  <si>
    <t xml:space="preserve">3. Anchor = pillar, EARNED through scale + strategic value. No subscription required.</t>
  </si>
  <si>
    <t xml:space="preserve">4. ALL THREE tiers are FREE in V1.5 — no partner subscription anywhere.</t>
  </si>
  <si>
    <t xml:space="preserve">5. ALL tier progression is admin-promoted on performance criteria.</t>
  </si>
  <si>
    <t xml:space="preserve">6. Per-order fee differentiation (5% / 3.5% / 2%) is the only monetary reward for tier promotion.</t>
  </si>
  <si>
    <t xml:space="preserve">7. Marketplace badges signal trust, never paid placement. Cannot be bought.</t>
  </si>
  <si>
    <t xml:space="preserve">8. Essentials (order accept, payouts, basic builder, FDA scan) always free regardless of tier.</t>
  </si>
  <si>
    <t xml:space="preserve">9. V2 may revisit a paid subscription overlay when advanced tools ship (3D Builder, AI agent, video gen).</t>
  </si>
  <si>
    <t xml:space="preserve">10. Principle: V1.5 monetization must justify itself with a delivered feature that has platform fixed cost.</t>
  </si>
  <si>
    <t xml:space="preserve">Bulk Pricing — per-order quantity tier system (V1.5)</t>
  </si>
  <si>
    <t xml:space="preserve">Bulk uses per-order quantity tier (separate from on-demand velocity tier). Platform-suggested category brackets, partner-customizable wholesale prices. Tiers below MOQ render N/A. Maker gets full access at higher base fee rate.</t>
  </si>
  <si>
    <t xml:space="preserve">Platform fee on bulk (FLAT — not velocity-discounted)</t>
  </si>
  <si>
    <t xml:space="preserve">Subscription</t>
  </si>
  <si>
    <t xml:space="preserve">Bulk platform fee %</t>
  </si>
  <si>
    <t xml:space="preserve">Bulk access</t>
  </si>
  <si>
    <t xml:space="preserve">FULL (locked Pavel 2026-06-04)</t>
  </si>
  <si>
    <t xml:space="preserve">FULL</t>
  </si>
  <si>
    <t xml:space="preserve">NOTE: Bulk fee % = the Tier-1 subscription tier rate from Assumptions sheet (flat, not velocity-discounted). Bulk's pricing leverage is the wholesale tier ladder below.</t>
  </si>
  <si>
    <t xml:space="preserve">Category bracket ladders (V1.5 suggested defaults — partner-customizable per product)</t>
  </si>
  <si>
    <t xml:space="preserve">Supplements</t>
  </si>
  <si>
    <t xml:space="preserve">Beverages</t>
  </si>
  <si>
    <t xml:space="preserve">Snack food</t>
  </si>
  <si>
    <t xml:space="preserve">Pet products</t>
  </si>
  <si>
    <t xml:space="preserve">Cosmetics</t>
  </si>
  <si>
    <t xml:space="preserve">OTC pharma</t>
  </si>
  <si>
    <t xml:space="preserve">T1</t>
  </si>
  <si>
    <t xml:space="preserve">100–249</t>
  </si>
  <si>
    <t xml:space="preserve">500–999</t>
  </si>
  <si>
    <t xml:space="preserve">100–499</t>
  </si>
  <si>
    <t xml:space="preserve">250–499</t>
  </si>
  <si>
    <t xml:space="preserve">1,000–4,999</t>
  </si>
  <si>
    <t xml:space="preserve">T2</t>
  </si>
  <si>
    <t xml:space="preserve">250–999</t>
  </si>
  <si>
    <t xml:space="preserve">500–1,999</t>
  </si>
  <si>
    <t xml:space="preserve">5,000–19,999</t>
  </si>
  <si>
    <t xml:space="preserve">T3</t>
  </si>
  <si>
    <t xml:space="preserve">2,000–9,999</t>
  </si>
  <si>
    <t xml:space="preserve">20,000–49,999</t>
  </si>
  <si>
    <t xml:space="preserve">T4</t>
  </si>
  <si>
    <t xml:space="preserve">5,000–14,999</t>
  </si>
  <si>
    <t xml:space="preserve">10,000–29,999</t>
  </si>
  <si>
    <t xml:space="preserve">50,000–99,999</t>
  </si>
  <si>
    <t xml:space="preserve">T5</t>
  </si>
  <si>
    <t xml:space="preserve">15,000–49,999</t>
  </si>
  <si>
    <t xml:space="preserve">30,000–99,999</t>
  </si>
  <si>
    <t xml:space="preserve">100,000–249,999</t>
  </si>
  <si>
    <t xml:space="preserve">T6</t>
  </si>
  <si>
    <t xml:space="preserve">50,000+</t>
  </si>
  <si>
    <t xml:space="preserve">100,000+</t>
  </si>
  <si>
    <t xml:space="preserve">250,000+</t>
  </si>
  <si>
    <t xml:space="preserve">MOQ-anchored example — Supplements product with MOQ = 100</t>
  </si>
  <si>
    <t xml:space="preserve">Qty range</t>
  </si>
  <si>
    <t xml:space="preserve">Status</t>
  </si>
  <si>
    <t xml:space="preserve">Partner wholesale $/unit</t>
  </si>
  <si>
    <t xml:space="preserve">+ Platform fee (Maker 15%)</t>
  </si>
  <si>
    <t xml:space="preserve">+ Platform fee (Builder 10%)</t>
  </si>
  <si>
    <t xml:space="preserve">+ Platform fee (Agency 7%)</t>
  </si>
  <si>
    <t xml:space="preserve">T1 (below MOQ)</t>
  </si>
  <si>
    <t xml:space="preserve">0–49</t>
  </si>
  <si>
    <t xml:space="preserve">N/A</t>
  </si>
  <si>
    <t xml:space="preserve">50–99</t>
  </si>
  <si>
    <t xml:space="preserve">ACTIVE</t>
  </si>
  <si>
    <t xml:space="preserve">1,000–2,499</t>
  </si>
  <si>
    <t xml:space="preserve">2,500–4,999</t>
  </si>
  <si>
    <t xml:space="preserve">5,000+</t>
  </si>
  <si>
    <t xml:space="preserve">Worked example — 5,000-unit bulk run @ T6 wholesale ($5.40/unit)</t>
  </si>
  <si>
    <t xml:space="preserve">Quantity</t>
  </si>
  <si>
    <t xml:space="preserve">Wholesale unit price</t>
  </si>
  <si>
    <t xml:space="preserve">Wholesale total</t>
  </si>
  <si>
    <t xml:space="preserve">Platform fee %</t>
  </si>
  <si>
    <t xml:space="preserve">Platform fee $</t>
  </si>
  <si>
    <t xml:space="preserve">Total creator cost</t>
  </si>
  <si>
    <t xml:space="preserve">Savings vs Maker</t>
  </si>
  <si>
    <t xml:space="preserve">Locked decisions (2026-06-04) — see _V1.5_BULK_PRICING.md for full spec</t>
  </si>
  <si>
    <t xml:space="preserve">1. Bulk and on-demand tier systems are SEPARATE</t>
  </si>
  <si>
    <t xml:space="preserve">2. Cross-pollination YES — bulk volume accrues to SKU's on-demand velocity tier</t>
  </si>
  <si>
    <t xml:space="preserve">3. Platform-suggested category brackets, partner-customizable</t>
  </si>
  <si>
    <t xml:space="preserve">4. MOQ-anchored — tiers below MOQ render N/A</t>
  </si>
  <si>
    <t xml:space="preserve">5. MaxOQ per batch — auto-split or route to another partner above ceiling</t>
  </si>
  <si>
    <t xml:space="preserve">6. Lead time AND setup fee are per-tier partner-set</t>
  </si>
  <si>
    <t xml:space="preserve">7. Setup fee displayed as separate line at checkout (NOT amortized)</t>
  </si>
  <si>
    <t xml:space="preserve">8. Mixed-flavor multipacks aggregate PER-SKU, not combined</t>
  </si>
  <si>
    <t xml:space="preserve">9. Quantity step enforces case-pack multiples</t>
  </si>
  <si>
    <t xml:space="preserve">10. Decoration availability per-tier (digital at T1, offset T3+, shrink sleeve T4+)</t>
  </si>
  <si>
    <t xml:space="preserve">11. Tier price changes are quote-snapshot-protected (7-day lock)</t>
  </si>
  <si>
    <t xml:space="preserve">12. Sub-MOQ requests default SUGGEST_ON_DEMAND (cost comparison)</t>
  </si>
  <si>
    <t xml:space="preserve">13. Maker has FULL access — differentiation is base fee rate, not feature lock</t>
  </si>
  <si>
    <t xml:space="preserve">Results — live, formula-driven, 4 scales</t>
  </si>
  <si>
    <t xml:space="preserve">Change any Assumptions input and every cell here recalculates. Toggle scenario via Assumptions!B78 (conservative) and B79 (uplift).</t>
  </si>
  <si>
    <t xml:space="preserve">Metric</t>
  </si>
  <si>
    <t xml:space="preserve">100 creators</t>
  </si>
  <si>
    <t xml:space="preserve">1,000 creators</t>
  </si>
  <si>
    <t xml:space="preserve">10,000 creators</t>
  </si>
  <si>
    <t xml:space="preserve">30,000 creators</t>
  </si>
  <si>
    <t xml:space="preserve">Partners</t>
  </si>
  <si>
    <t xml:space="preserve">Registered Makers</t>
  </si>
  <si>
    <t xml:space="preserve">Registered Builders</t>
  </si>
  <si>
    <t xml:space="preserve">Registered Agencies</t>
  </si>
  <si>
    <t xml:space="preserve">Active Makers</t>
  </si>
  <si>
    <t xml:space="preserve">Active Builders</t>
  </si>
  <si>
    <t xml:space="preserve">Active Agencies</t>
  </si>
  <si>
    <t xml:space="preserve">Subscription revenue (mo)</t>
  </si>
  <si>
    <t xml:space="preserve">On-demand units (mo)</t>
  </si>
  <si>
    <t xml:space="preserve">On-demand gross retail (mo)</t>
  </si>
  <si>
    <t xml:space="preserve">Creator-side on-demand fee</t>
  </si>
  <si>
    <t xml:space="preserve">Partner-side on-demand fee</t>
  </si>
  <si>
    <t xml:space="preserve">Bulk units (mo)</t>
  </si>
  <si>
    <t xml:space="preserve">Bulk partner cost flow (mo)</t>
  </si>
  <si>
    <t xml:space="preserve">Creator-side bulk fee</t>
  </si>
  <si>
    <t xml:space="preserve">Partner-side bulk fee</t>
  </si>
  <si>
    <t xml:space="preserve">Base platform take (mo)</t>
  </si>
  <si>
    <t xml:space="preserve">Rec 2 — Float income</t>
  </si>
  <si>
    <t xml:space="preserve">Rec 6 — Partner referral drag</t>
  </si>
  <si>
    <t xml:space="preserve">Rec 7 — Premium AI overage</t>
  </si>
  <si>
    <t xml:space="preserve">Rec 8 — Bulk escrow</t>
  </si>
  <si>
    <t xml:space="preserve">Total platform take (mo)</t>
  </si>
  <si>
    <t xml:space="preserve">Stripe Connect costs</t>
  </si>
  <si>
    <t xml:space="preserve">AI parser cost</t>
  </si>
  <si>
    <t xml:space="preserve">Asset library (Shutterstock)</t>
  </si>
  <si>
    <t xml:space="preserve">Fixed opex (monthly)</t>
  </si>
  <si>
    <t xml:space="preserve">Operating profit (monthly)</t>
  </si>
  <si>
    <t xml:space="preserve">Annualized revenue (ARR)</t>
  </si>
  <si>
    <t xml:space="preserve">Annualized op profit</t>
  </si>
  <si>
    <t xml:space="preserve">DASHBOARD — live headline numbers</t>
  </si>
  <si>
    <t xml:space="preserve">Toggle scenarios on Assumptions sheet. This dashboard reflects the active configuration.</t>
  </si>
  <si>
    <t xml:space="preserve">Active scenario:</t>
  </si>
  <si>
    <t xml:space="preserve">Recs active:</t>
  </si>
  <si>
    <t xml:space="preserve">Scale</t>
  </si>
  <si>
    <t xml:space="preserve">Annualized revenue</t>
  </si>
  <si>
    <t xml:space="preserve">Operating profit</t>
  </si>
  <si>
    <t xml:space="preserve">Profit / creator / yr</t>
  </si>
  <si>
    <t xml:space="preserve">Effective fees (volume-weighted)</t>
  </si>
  <si>
    <t xml:space="preserve">Partner avg</t>
  </si>
  <si>
    <t xml:space="preserve">HOW TO USE THIS LIVE MODEL</t>
  </si>
  <si>
    <t xml:space="preserve">WHAT THIS IS</t>
  </si>
  <si>
    <t xml:space="preserve">One master live model that supersedes the 5 prior static spreadsheets. Every yellow cell on Assumptions is an input. Every white</t>
  </si>
  <si>
    <t xml:space="preserve">cell is a formula. Edit any input — the model recalculates everywhere.</t>
  </si>
  <si>
    <t xml:space="preserve">QUICK SCENARIO TOGGLES (on Assumptions sheet)</t>
  </si>
  <si>
    <t xml:space="preserve">Cell B78 — Use Conservative demand?       0 = Base assumptions, 1 = Conservative (halved demand levers)</t>
  </si>
  <si>
    <t xml:space="preserve">Cell B79 — Pricing uplift (pp)            0 = locked V1.5, 5 = +5pp aggressive, 10 = +10pp ceiling test</t>
  </si>
  <si>
    <t xml:space="preserve">RECOMMENDATION TOGGLES (set 1 to enable)</t>
  </si>
  <si>
    <t xml:space="preserve">B82 — Rec 1 Engineered Maker→Builder triggers (mix shift + Builder activation lift)</t>
  </si>
  <si>
    <t xml:space="preserve">B83 — Rec 2 Float income on held balances</t>
  </si>
  <si>
    <t xml:space="preserve">B84 — Rec 3 Sub prices Builder $79 / Agency $249 (vs $49/$199)</t>
  </si>
  <si>
    <t xml:space="preserve">B86 — Rec 6 Partner referral commission (-2% drag)</t>
  </si>
  <si>
    <t xml:space="preserve">B87 — Rec 7 Premium AI overage</t>
  </si>
  <si>
    <t xml:space="preserve">B88 — Rec 8 Bulk escrow opt-in</t>
  </si>
  <si>
    <t xml:space="preserve">TYPICAL EXPLORATIONS</t>
  </si>
  <si>
    <t xml:space="preserve">  ── Base case             — set everything to 0 (default)</t>
  </si>
  <si>
    <t xml:space="preserve">  ── Conservative          — set B78=1</t>
  </si>
  <si>
    <t xml:space="preserve">  ── Conservative + Recs   — set B78=1, B82=1, B83=1, B84=1, B86=1, B87=1, B88=1</t>
  </si>
  <si>
    <t xml:space="preserve">  ── Aggressive pricing    — set B79=5 (or 10) and watch the matrix in Tier Model recompute</t>
  </si>
  <si>
    <t xml:space="preserve">WHERE TO SEE THE NUMBERS</t>
  </si>
  <si>
    <t xml:space="preserve">  Results sheet       — full per-scale breakdown (4 scales)</t>
  </si>
  <si>
    <t xml:space="preserve">  Dashboard sheet     — headline summary, also shows what's active</t>
  </si>
  <si>
    <t xml:space="preserve">  Tier Model sheet    — creator-side comparison Maker/Builder/Agency (subscription + velocity)</t>
  </si>
  <si>
    <t xml:space="preserve">  Partner Tiers sheet — three-step ladder Verified→Trusted→Anchor (locked 2026-06-04, Anchor replaces Premier)</t>
  </si>
  <si>
    <t xml:space="preserve">  Bulk Tier sheet     — bulk per-order quantity tiers + category brackets + MOQ-anchored example (NEW 2026-06-04)</t>
  </si>
  <si>
    <t xml:space="preserve">WHAT'S DIFFERENT FROM THE PRIOR SPREADSHEETS</t>
  </si>
  <si>
    <t xml:space="preserve">  iLaunchify_Financial_Simulation.xlsx                    — superseded (was Base only)</t>
  </si>
  <si>
    <t xml:space="preserve">  iLaunchify_Financial_Simulation_3Scenarios.xlsx          — superseded (was Base/+5/+10pp)</t>
  </si>
  <si>
    <t xml:space="preserve">  iLaunchify_Financial_Simulation_Conservative_vs_Base.xlsx — superseded</t>
  </si>
  <si>
    <t xml:space="preserve">  iLaunchify_Financial_Simulation_With_Recommendations.xlsx — superseded</t>
  </si>
  <si>
    <t xml:space="preserve">  iLaunchify_Rebuilt_Tier_Model.xlsx                       — superseded (tier model is now Sheet 2 here, live)</t>
  </si>
  <si>
    <t xml:space="preserve">All five static spreadsheets are now reproducible by setting the right toggle combination on Assumptions.</t>
  </si>
  <si>
    <t xml:space="preserve">FORMULA CAVEAT</t>
  </si>
  <si>
    <t xml:space="preserve">Bulk-share-of-total (5%/30%/60% for Maker/Builder/Agency) is hardcoded inside the Results formulas for simplicity.</t>
  </si>
  <si>
    <t xml:space="preserve">If you want to tune bulk share, edit the formulas directly in Results sheet rows 14/19 or ask me to expose it as inputs.</t>
  </si>
  <si>
    <t xml:space="preserve">WHEN YOU HIT THE EDGE</t>
  </si>
  <si>
    <t xml:space="preserve">If a calculation looks wrong: open the Results sheet, click the cell, examine the formula. Every formula traces back to</t>
  </si>
  <si>
    <t xml:space="preserve">Assumptions. There are no hidden constants beyond the bulk-share noted above.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</si>
</sst>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"/>
    <numFmt numFmtId="167" formatCode="0.00"/>
    <numFmt numFmtId="168" formatCode="\$#,##0"/>
    <numFmt numFmtId="169" formatCode="0.00%"/>
    <numFmt numFmtId="170" formatCode="0"/>
    <numFmt numFmtId="171" formatCode="0.0"/>
    <numFmt numFmtId="172" formatCode="\$#,##0.00"/>
    <numFmt numFmtId="173" formatCode="\$#,##0;&quot;($&quot;#,##0\);\—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2E63"/>
      <name val="Inter"/>
      <family val="0"/>
      <charset val="1"/>
    </font>
    <font>
      <i val="true"/>
      <sz val="10"/>
      <color rgb="FF666666"/>
      <name val="Inter"/>
      <family val="0"/>
      <charset val="1"/>
    </font>
    <font>
      <b val="true"/>
      <sz val="13"/>
      <color rgb="FF111111"/>
      <name val="Inter"/>
      <family val="0"/>
      <charset val="1"/>
    </font>
    <font>
      <b val="true"/>
      <sz val="11"/>
      <color rgb="FFB85C00"/>
      <name val="Inter"/>
      <family val="0"/>
      <charset val="1"/>
    </font>
    <font>
      <sz val="11"/>
      <color rgb="FF111111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b val="true"/>
      <sz val="11"/>
      <color rgb="FF111111"/>
      <name val="Inter"/>
      <family val="0"/>
      <charset val="1"/>
    </font>
    <font>
      <b val="true"/>
      <sz val="12"/>
      <color rgb="FFFF2E63"/>
      <name val="Inter"/>
      <family val="0"/>
      <charset val="1"/>
    </font>
    <font>
      <sz val="11"/>
      <color rgb="FF333333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3EFE8"/>
        <bgColor rgb="FFFFFCE6"/>
      </patternFill>
    </fill>
    <fill>
      <patternFill patternType="solid">
        <fgColor rgb="FFFFFCE6"/>
        <bgColor rgb="FFFFFFFF"/>
      </patternFill>
    </fill>
    <fill>
      <patternFill patternType="solid">
        <fgColor rgb="FF111111"/>
        <bgColor rgb="FF000000"/>
      </patternFill>
    </fill>
    <fill>
      <patternFill patternType="solid">
        <fgColor rgb="FF666666"/>
        <bgColor rgb="FF808080"/>
      </patternFill>
    </fill>
    <fill>
      <patternFill patternType="solid">
        <fgColor rgb="FFFFE0EB"/>
        <bgColor rgb="FFF3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2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CE6"/>
      <rgbColor rgb="FFF3EF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0" t="s">
        <v>3</v>
      </c>
      <c r="B5" s="4" t="n">
        <v>0.7</v>
      </c>
    </row>
    <row r="6" customFormat="false" ht="15" hidden="false" customHeight="false" outlineLevel="0" collapsed="false">
      <c r="A6" s="0" t="s">
        <v>4</v>
      </c>
      <c r="B6" s="4" t="n">
        <v>0.25</v>
      </c>
    </row>
    <row r="7" customFormat="false" ht="15" hidden="false" customHeight="false" outlineLevel="0" collapsed="false">
      <c r="A7" s="0" t="s">
        <v>5</v>
      </c>
      <c r="B7" s="4" t="n">
        <v>0.05</v>
      </c>
    </row>
    <row r="8" customFormat="false" ht="15" hidden="false" customHeight="false" outlineLevel="0" collapsed="false">
      <c r="A8" s="0" t="s">
        <v>6</v>
      </c>
      <c r="B8" s="5" t="n">
        <f aca="false">SUM(B5:B7)</f>
        <v>1</v>
      </c>
    </row>
    <row r="10" customFormat="false" ht="16.15" hidden="false" customHeight="false" outlineLevel="0" collapsed="false">
      <c r="A10" s="3" t="s">
        <v>7</v>
      </c>
      <c r="B10" s="3"/>
      <c r="C10" s="3"/>
      <c r="D10" s="3"/>
      <c r="E10" s="3"/>
    </row>
    <row r="11" customFormat="false" ht="15" hidden="false" customHeight="false" outlineLevel="0" collapsed="false">
      <c r="A11" s="0" t="s">
        <v>8</v>
      </c>
      <c r="B11" s="4" t="n">
        <v>0.3</v>
      </c>
      <c r="D11" s="6" t="s">
        <v>9</v>
      </c>
      <c r="E11" s="4" t="n">
        <v>0.15</v>
      </c>
    </row>
    <row r="12" customFormat="false" ht="15" hidden="false" customHeight="false" outlineLevel="0" collapsed="false">
      <c r="A12" s="0" t="s">
        <v>10</v>
      </c>
      <c r="B12" s="4" t="n">
        <v>0.7</v>
      </c>
      <c r="E12" s="4" t="n">
        <v>0.35</v>
      </c>
    </row>
    <row r="13" customFormat="false" ht="15" hidden="false" customHeight="false" outlineLevel="0" collapsed="false">
      <c r="A13" s="0" t="s">
        <v>11</v>
      </c>
      <c r="B13" s="4" t="n">
        <v>0.9</v>
      </c>
      <c r="E13" s="4" t="n">
        <v>0.45</v>
      </c>
    </row>
    <row r="15" customFormat="false" ht="16.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0" t="s">
        <v>13</v>
      </c>
      <c r="B16" s="7" t="n">
        <v>5</v>
      </c>
      <c r="D16" s="6" t="s">
        <v>14</v>
      </c>
      <c r="E16" s="7" t="n">
        <v>2</v>
      </c>
    </row>
    <row r="17" customFormat="false" ht="15" hidden="false" customHeight="false" outlineLevel="0" collapsed="false">
      <c r="A17" s="0" t="s">
        <v>15</v>
      </c>
      <c r="B17" s="7" t="n">
        <v>80</v>
      </c>
      <c r="E17" s="7" t="n">
        <v>40</v>
      </c>
    </row>
    <row r="18" customFormat="false" ht="15" hidden="false" customHeight="false" outlineLevel="0" collapsed="false">
      <c r="A18" s="0" t="s">
        <v>16</v>
      </c>
      <c r="B18" s="7" t="n">
        <v>400</v>
      </c>
      <c r="E18" s="7" t="n">
        <v>200</v>
      </c>
    </row>
    <row r="20" customFormat="false" ht="16.15" hidden="false" customHeight="false" outlineLevel="0" collapsed="false">
      <c r="A20" s="3" t="s">
        <v>17</v>
      </c>
      <c r="B20" s="3"/>
      <c r="C20" s="3"/>
      <c r="D20" s="3"/>
      <c r="E20" s="3"/>
    </row>
    <row r="21" customFormat="false" ht="15" hidden="false" customHeight="false" outlineLevel="0" collapsed="false">
      <c r="A21" s="0" t="s">
        <v>18</v>
      </c>
      <c r="B21" s="8" t="n">
        <v>0.1</v>
      </c>
      <c r="C21" s="0" t="s">
        <v>19</v>
      </c>
      <c r="D21" s="7" t="n">
        <v>200</v>
      </c>
      <c r="F21" s="6" t="s">
        <v>20</v>
      </c>
      <c r="G21" s="8" t="n">
        <v>0.05</v>
      </c>
    </row>
    <row r="22" customFormat="false" ht="15" hidden="false" customHeight="false" outlineLevel="0" collapsed="false">
      <c r="A22" s="0" t="s">
        <v>21</v>
      </c>
      <c r="B22" s="8" t="n">
        <v>0.5</v>
      </c>
      <c r="C22" s="0" t="s">
        <v>19</v>
      </c>
      <c r="D22" s="7" t="n">
        <v>800</v>
      </c>
      <c r="G22" s="8" t="n">
        <v>0.25</v>
      </c>
    </row>
    <row r="23" customFormat="false" ht="15" hidden="false" customHeight="false" outlineLevel="0" collapsed="false">
      <c r="A23" s="0" t="s">
        <v>22</v>
      </c>
      <c r="B23" s="8" t="n">
        <v>2</v>
      </c>
      <c r="C23" s="0" t="s">
        <v>19</v>
      </c>
      <c r="D23" s="7" t="n">
        <v>3000</v>
      </c>
      <c r="G23" s="8" t="n">
        <v>1</v>
      </c>
    </row>
    <row r="25" customFormat="false" ht="16.15" hidden="false" customHeight="false" outlineLevel="0" collapsed="false">
      <c r="A25" s="3" t="s">
        <v>23</v>
      </c>
      <c r="B25" s="3"/>
      <c r="C25" s="3"/>
      <c r="D25" s="3"/>
      <c r="E25" s="3"/>
    </row>
    <row r="26" customFormat="false" ht="15" hidden="false" customHeight="false" outlineLevel="0" collapsed="false">
      <c r="A26" s="0" t="s">
        <v>24</v>
      </c>
      <c r="B26" s="9" t="n">
        <v>79</v>
      </c>
    </row>
    <row r="27" customFormat="false" ht="15" hidden="false" customHeight="false" outlineLevel="0" collapsed="false">
      <c r="A27" s="0" t="s">
        <v>25</v>
      </c>
      <c r="B27" s="9" t="n">
        <v>249</v>
      </c>
    </row>
    <row r="30" customFormat="false" ht="16.15" hidden="false" customHeight="false" outlineLevel="0" collapsed="false">
      <c r="A30" s="3" t="s">
        <v>26</v>
      </c>
      <c r="B30" s="3"/>
      <c r="C30" s="3"/>
      <c r="D30" s="3"/>
      <c r="E30" s="3"/>
    </row>
    <row r="31" customFormat="false" ht="15" hidden="false" customHeight="false" outlineLevel="0" collapsed="false">
      <c r="A31" s="10" t="s">
        <v>27</v>
      </c>
      <c r="B31" s="10" t="s">
        <v>28</v>
      </c>
      <c r="C31" s="10" t="s">
        <v>29</v>
      </c>
      <c r="D31" s="10" t="s">
        <v>30</v>
      </c>
      <c r="E31" s="10" t="s">
        <v>31</v>
      </c>
    </row>
    <row r="32" customFormat="false" ht="15" hidden="false" customHeight="false" outlineLevel="0" collapsed="false">
      <c r="A32" s="11" t="s">
        <v>32</v>
      </c>
      <c r="B32" s="12" t="s">
        <v>33</v>
      </c>
      <c r="C32" s="4" t="n">
        <v>0.15</v>
      </c>
      <c r="D32" s="4" t="n">
        <v>0.1</v>
      </c>
      <c r="E32" s="4" t="n">
        <v>0.07</v>
      </c>
    </row>
    <row r="33" customFormat="false" ht="15" hidden="false" customHeight="false" outlineLevel="0" collapsed="false">
      <c r="A33" s="11" t="s">
        <v>34</v>
      </c>
      <c r="B33" s="12" t="s">
        <v>35</v>
      </c>
      <c r="C33" s="4" t="n">
        <v>0.13</v>
      </c>
      <c r="D33" s="4" t="n">
        <v>0.085</v>
      </c>
      <c r="E33" s="4" t="n">
        <v>0.06</v>
      </c>
    </row>
    <row r="34" customFormat="false" ht="15" hidden="false" customHeight="false" outlineLevel="0" collapsed="false">
      <c r="A34" s="11" t="s">
        <v>36</v>
      </c>
      <c r="B34" s="12" t="s">
        <v>37</v>
      </c>
      <c r="C34" s="4" t="n">
        <v>0.11</v>
      </c>
      <c r="D34" s="4" t="n">
        <v>0.07</v>
      </c>
      <c r="E34" s="4" t="n">
        <v>0.05</v>
      </c>
    </row>
    <row r="35" customFormat="false" ht="15" hidden="false" customHeight="false" outlineLevel="0" collapsed="false">
      <c r="A35" s="11" t="s">
        <v>38</v>
      </c>
      <c r="B35" s="12" t="s">
        <v>39</v>
      </c>
      <c r="C35" s="4" t="n">
        <v>0.09</v>
      </c>
      <c r="D35" s="4" t="n">
        <v>0.06</v>
      </c>
      <c r="E35" s="4" t="n">
        <v>0.05</v>
      </c>
    </row>
    <row r="36" customFormat="false" ht="15" hidden="false" customHeight="false" outlineLevel="0" collapsed="false">
      <c r="A36" s="11" t="s">
        <v>40</v>
      </c>
      <c r="B36" s="12" t="s">
        <v>41</v>
      </c>
      <c r="C36" s="4" t="n">
        <v>0.07</v>
      </c>
      <c r="D36" s="4" t="n">
        <v>0.05</v>
      </c>
      <c r="E36" s="4" t="n">
        <v>0.05</v>
      </c>
    </row>
    <row r="38" customFormat="false" ht="16.15" hidden="false" customHeight="false" outlineLevel="0" collapsed="false">
      <c r="A38" s="3" t="s">
        <v>42</v>
      </c>
      <c r="B38" s="3"/>
      <c r="C38" s="3"/>
      <c r="D38" s="3"/>
      <c r="E38" s="3"/>
    </row>
    <row r="39" customFormat="false" ht="15" hidden="false" customHeight="false" outlineLevel="0" collapsed="false">
      <c r="A39" s="10" t="s">
        <v>27</v>
      </c>
      <c r="B39" s="10" t="s">
        <v>29</v>
      </c>
      <c r="C39" s="10" t="s">
        <v>30</v>
      </c>
      <c r="D39" s="10" t="s">
        <v>31</v>
      </c>
      <c r="F39" s="13" t="s">
        <v>14</v>
      </c>
    </row>
    <row r="40" customFormat="false" ht="15" hidden="false" customHeight="false" outlineLevel="0" collapsed="false">
      <c r="A40" s="11" t="s">
        <v>32</v>
      </c>
      <c r="B40" s="4" t="n">
        <v>0.9</v>
      </c>
      <c r="C40" s="4" t="n">
        <v>0.55</v>
      </c>
      <c r="D40" s="4" t="n">
        <v>0.3</v>
      </c>
      <c r="F40" s="4" t="n">
        <v>0.95</v>
      </c>
      <c r="G40" s="4" t="n">
        <v>0.7</v>
      </c>
      <c r="H40" s="4" t="n">
        <v>0.5</v>
      </c>
    </row>
    <row r="41" customFormat="false" ht="15" hidden="false" customHeight="false" outlineLevel="0" collapsed="false">
      <c r="A41" s="11" t="s">
        <v>34</v>
      </c>
      <c r="B41" s="4" t="n">
        <v>0.08</v>
      </c>
      <c r="C41" s="4" t="n">
        <v>0.25</v>
      </c>
      <c r="D41" s="4" t="n">
        <v>0.3</v>
      </c>
      <c r="F41" s="4" t="n">
        <v>0.04</v>
      </c>
      <c r="G41" s="4" t="n">
        <v>0.2</v>
      </c>
      <c r="H41" s="4" t="n">
        <v>0.3</v>
      </c>
    </row>
    <row r="42" customFormat="false" ht="15" hidden="false" customHeight="false" outlineLevel="0" collapsed="false">
      <c r="A42" s="11" t="s">
        <v>36</v>
      </c>
      <c r="B42" s="4" t="n">
        <v>0.02</v>
      </c>
      <c r="C42" s="4" t="n">
        <v>0.12</v>
      </c>
      <c r="D42" s="4" t="n">
        <v>0.2</v>
      </c>
      <c r="F42" s="4" t="n">
        <v>0.01</v>
      </c>
      <c r="G42" s="4" t="n">
        <v>0.07</v>
      </c>
      <c r="H42" s="4" t="n">
        <v>0.15</v>
      </c>
    </row>
    <row r="43" customFormat="false" ht="15" hidden="false" customHeight="false" outlineLevel="0" collapsed="false">
      <c r="A43" s="11" t="s">
        <v>38</v>
      </c>
      <c r="B43" s="4" t="n">
        <v>0</v>
      </c>
      <c r="C43" s="4" t="n">
        <v>0.06</v>
      </c>
      <c r="D43" s="4" t="n">
        <v>0.12</v>
      </c>
      <c r="F43" s="4" t="n">
        <v>0</v>
      </c>
      <c r="G43" s="4" t="n">
        <v>0.02</v>
      </c>
      <c r="H43" s="4" t="n">
        <v>0.04</v>
      </c>
    </row>
    <row r="44" customFormat="false" ht="15" hidden="false" customHeight="false" outlineLevel="0" collapsed="false">
      <c r="A44" s="11" t="s">
        <v>40</v>
      </c>
      <c r="B44" s="4" t="n">
        <v>0</v>
      </c>
      <c r="C44" s="4" t="n">
        <v>0.02</v>
      </c>
      <c r="D44" s="4" t="n">
        <v>0.08</v>
      </c>
      <c r="F44" s="4" t="n">
        <v>0</v>
      </c>
      <c r="G44" s="4" t="n">
        <v>0.01</v>
      </c>
      <c r="H44" s="4" t="n">
        <v>0.01</v>
      </c>
    </row>
    <row r="47" customFormat="false" ht="16.15" hidden="false" customHeight="false" outlineLevel="0" collapsed="false">
      <c r="A47" s="3" t="s">
        <v>43</v>
      </c>
      <c r="B47" s="3"/>
      <c r="C47" s="3"/>
      <c r="D47" s="3"/>
      <c r="E47" s="3"/>
    </row>
    <row r="48" customFormat="false" ht="15" hidden="false" customHeight="false" outlineLevel="0" collapsed="false">
      <c r="A48" s="0" t="s">
        <v>44</v>
      </c>
      <c r="B48" s="9" t="n">
        <v>30</v>
      </c>
    </row>
    <row r="49" customFormat="false" ht="15" hidden="false" customHeight="false" outlineLevel="0" collapsed="false">
      <c r="A49" s="0" t="s">
        <v>45</v>
      </c>
      <c r="B49" s="9" t="n">
        <v>8</v>
      </c>
    </row>
    <row r="50" customFormat="false" ht="15" hidden="false" customHeight="false" outlineLevel="0" collapsed="false">
      <c r="A50" s="0" t="s">
        <v>46</v>
      </c>
      <c r="B50" s="9" t="n">
        <v>4.5</v>
      </c>
    </row>
    <row r="51" customFormat="false" ht="15" hidden="false" customHeight="false" outlineLevel="0" collapsed="false">
      <c r="A51" s="0" t="s">
        <v>47</v>
      </c>
      <c r="B51" s="9" t="n">
        <v>4.5</v>
      </c>
    </row>
    <row r="54" customFormat="false" ht="16.15" hidden="false" customHeight="false" outlineLevel="0" collapsed="false">
      <c r="A54" s="3" t="s">
        <v>48</v>
      </c>
      <c r="B54" s="3"/>
      <c r="C54" s="3"/>
      <c r="D54" s="3"/>
      <c r="E54" s="3"/>
    </row>
    <row r="55" customFormat="false" ht="15" hidden="false" customHeight="false" outlineLevel="0" collapsed="false">
      <c r="A55" s="0" t="s">
        <v>49</v>
      </c>
      <c r="B55" s="4" t="n">
        <v>0.05</v>
      </c>
    </row>
    <row r="56" customFormat="false" ht="15" hidden="false" customHeight="false" outlineLevel="0" collapsed="false">
      <c r="A56" s="0" t="s">
        <v>50</v>
      </c>
      <c r="B56" s="4" t="n">
        <v>0.035</v>
      </c>
    </row>
    <row r="57" customFormat="false" ht="15" hidden="false" customHeight="false" outlineLevel="0" collapsed="false">
      <c r="A57" s="0" t="s">
        <v>51</v>
      </c>
      <c r="B57" s="4" t="n">
        <v>0.02</v>
      </c>
    </row>
    <row r="58" customFormat="false" ht="15" hidden="false" customHeight="false" outlineLevel="0" collapsed="false">
      <c r="A58" s="0" t="s">
        <v>52</v>
      </c>
      <c r="B58" s="4" t="n">
        <v>0.7</v>
      </c>
    </row>
    <row r="59" customFormat="false" ht="15" hidden="false" customHeight="false" outlineLevel="0" collapsed="false">
      <c r="A59" s="0" t="s">
        <v>53</v>
      </c>
      <c r="B59" s="4" t="n">
        <v>0.25</v>
      </c>
    </row>
    <row r="60" customFormat="false" ht="15" hidden="false" customHeight="false" outlineLevel="0" collapsed="false">
      <c r="A60" s="0" t="s">
        <v>54</v>
      </c>
      <c r="B60" s="4" t="n">
        <v>0.05</v>
      </c>
    </row>
    <row r="62" customFormat="false" ht="15" hidden="false" customHeight="false" outlineLevel="0" collapsed="false">
      <c r="A62" s="0" t="s">
        <v>55</v>
      </c>
      <c r="B62" s="7" t="n">
        <v>40</v>
      </c>
    </row>
    <row r="64" customFormat="false" ht="16.15" hidden="false" customHeight="false" outlineLevel="0" collapsed="false">
      <c r="A64" s="3" t="s">
        <v>56</v>
      </c>
      <c r="B64" s="3"/>
      <c r="C64" s="3"/>
      <c r="D64" s="3"/>
      <c r="E64" s="3"/>
    </row>
    <row r="65" customFormat="false" ht="15" hidden="false" customHeight="false" outlineLevel="0" collapsed="false">
      <c r="A65" s="0" t="s">
        <v>57</v>
      </c>
      <c r="B65" s="14" t="n">
        <v>0.0025</v>
      </c>
    </row>
    <row r="66" customFormat="false" ht="15" hidden="false" customHeight="false" outlineLevel="0" collapsed="false">
      <c r="A66" s="0" t="s">
        <v>58</v>
      </c>
      <c r="B66" s="9" t="n">
        <v>0.25</v>
      </c>
    </row>
    <row r="67" customFormat="false" ht="15" hidden="false" customHeight="false" outlineLevel="0" collapsed="false">
      <c r="A67" s="0" t="s">
        <v>59</v>
      </c>
      <c r="B67" s="9" t="n">
        <v>0.3</v>
      </c>
    </row>
    <row r="68" customFormat="false" ht="15" hidden="false" customHeight="false" outlineLevel="0" collapsed="false">
      <c r="A68" s="0" t="s">
        <v>60</v>
      </c>
      <c r="B68" s="7" t="n">
        <v>50</v>
      </c>
    </row>
    <row r="69" customFormat="false" ht="15" hidden="false" customHeight="false" outlineLevel="0" collapsed="false">
      <c r="A69" s="0" t="s">
        <v>61</v>
      </c>
      <c r="B69" s="7" t="n">
        <v>200</v>
      </c>
    </row>
    <row r="70" customFormat="false" ht="15" hidden="false" customHeight="false" outlineLevel="0" collapsed="false">
      <c r="A70" s="0" t="s">
        <v>62</v>
      </c>
      <c r="B70" s="9" t="n">
        <v>300</v>
      </c>
    </row>
    <row r="71" customFormat="false" ht="15" hidden="false" customHeight="false" outlineLevel="0" collapsed="false">
      <c r="A71" s="0" t="s">
        <v>63</v>
      </c>
      <c r="B71" s="9" t="n">
        <v>25000</v>
      </c>
    </row>
    <row r="72" customFormat="false" ht="15" hidden="false" customHeight="false" outlineLevel="0" collapsed="false">
      <c r="A72" s="0" t="s">
        <v>64</v>
      </c>
      <c r="B72" s="9" t="n">
        <v>75000</v>
      </c>
    </row>
    <row r="73" customFormat="false" ht="15" hidden="false" customHeight="false" outlineLevel="0" collapsed="false">
      <c r="A73" s="0" t="s">
        <v>65</v>
      </c>
      <c r="B73" s="9" t="n">
        <v>250000</v>
      </c>
    </row>
    <row r="74" customFormat="false" ht="15" hidden="false" customHeight="false" outlineLevel="0" collapsed="false">
      <c r="A74" s="0" t="s">
        <v>66</v>
      </c>
      <c r="B74" s="9" t="n">
        <v>600000</v>
      </c>
    </row>
    <row r="77" customFormat="false" ht="16.15" hidden="false" customHeight="false" outlineLevel="0" collapsed="false">
      <c r="A77" s="3" t="s">
        <v>67</v>
      </c>
      <c r="B77" s="3"/>
      <c r="C77" s="3"/>
      <c r="D77" s="3"/>
      <c r="E77" s="3"/>
    </row>
    <row r="78" customFormat="false" ht="15" hidden="false" customHeight="false" outlineLevel="0" collapsed="false">
      <c r="A78" s="0" t="s">
        <v>68</v>
      </c>
      <c r="B78" s="15" t="n">
        <v>0</v>
      </c>
    </row>
    <row r="79" customFormat="false" ht="15" hidden="false" customHeight="false" outlineLevel="0" collapsed="false">
      <c r="A79" s="0" t="s">
        <v>69</v>
      </c>
      <c r="B79" s="16" t="n">
        <v>0</v>
      </c>
      <c r="C79" s="6" t="s">
        <v>70</v>
      </c>
    </row>
    <row r="81" customFormat="false" ht="16.15" hidden="false" customHeight="false" outlineLevel="0" collapsed="false">
      <c r="A81" s="17" t="s">
        <v>71</v>
      </c>
    </row>
    <row r="82" customFormat="false" ht="15" hidden="false" customHeight="false" outlineLevel="0" collapsed="false">
      <c r="A82" s="0" t="s">
        <v>72</v>
      </c>
      <c r="B82" s="15" t="n">
        <v>0</v>
      </c>
    </row>
    <row r="83" customFormat="false" ht="15" hidden="false" customHeight="false" outlineLevel="0" collapsed="false">
      <c r="A83" s="0" t="s">
        <v>73</v>
      </c>
      <c r="B83" s="15" t="n">
        <v>0</v>
      </c>
    </row>
    <row r="84" customFormat="false" ht="15" hidden="false" customHeight="false" outlineLevel="0" collapsed="false">
      <c r="A84" s="0" t="s">
        <v>74</v>
      </c>
      <c r="B84" s="15" t="n">
        <v>0</v>
      </c>
    </row>
    <row r="85" customFormat="false" ht="15" hidden="false" customHeight="false" outlineLevel="0" collapsed="false">
      <c r="A85" s="0" t="s">
        <v>75</v>
      </c>
      <c r="B85" s="15" t="n">
        <v>0</v>
      </c>
    </row>
    <row r="86" customFormat="false" ht="15" hidden="false" customHeight="false" outlineLevel="0" collapsed="false">
      <c r="A86" s="0" t="s">
        <v>76</v>
      </c>
      <c r="B86" s="15" t="n">
        <v>0</v>
      </c>
    </row>
    <row r="87" customFormat="false" ht="15" hidden="false" customHeight="false" outlineLevel="0" collapsed="false">
      <c r="A87" s="0" t="s">
        <v>77</v>
      </c>
      <c r="B87" s="15" t="n">
        <v>0</v>
      </c>
    </row>
    <row r="88" customFormat="false" ht="15" hidden="false" customHeight="false" outlineLevel="0" collapsed="false">
      <c r="A88" s="0" t="s">
        <v>78</v>
      </c>
      <c r="B88" s="15" t="n">
        <v>0</v>
      </c>
    </row>
    <row r="91" customFormat="false" ht="16.15" hidden="false" customHeight="false" outlineLevel="0" collapsed="false">
      <c r="A91" s="3" t="s">
        <v>79</v>
      </c>
      <c r="B91" s="3"/>
      <c r="C91" s="3"/>
      <c r="D91" s="3"/>
      <c r="E91" s="3"/>
    </row>
    <row r="92" customFormat="false" ht="15" hidden="false" customHeight="false" outlineLevel="0" collapsed="false">
      <c r="A92" s="0" t="s">
        <v>80</v>
      </c>
      <c r="B92" s="16" t="n">
        <v>2</v>
      </c>
    </row>
    <row r="93" customFormat="false" ht="15" hidden="false" customHeight="false" outlineLevel="0" collapsed="false">
      <c r="A93" s="0" t="s">
        <v>81</v>
      </c>
      <c r="B93" s="4" t="n">
        <v>0.045</v>
      </c>
    </row>
    <row r="94" customFormat="false" ht="15" hidden="false" customHeight="false" outlineLevel="0" collapsed="false">
      <c r="A94" s="0" t="s">
        <v>82</v>
      </c>
      <c r="B94" s="4" t="n">
        <v>0.2</v>
      </c>
    </row>
    <row r="95" customFormat="false" ht="15" hidden="false" customHeight="false" outlineLevel="0" collapsed="false">
      <c r="A95" s="0" t="s">
        <v>83</v>
      </c>
      <c r="B95" s="4" t="n">
        <v>0.1</v>
      </c>
    </row>
    <row r="96" customFormat="false" ht="15" hidden="false" customHeight="false" outlineLevel="0" collapsed="false">
      <c r="A96" s="0" t="s">
        <v>84</v>
      </c>
      <c r="B96" s="4" t="n">
        <v>0.2</v>
      </c>
    </row>
    <row r="97" customFormat="false" ht="15" hidden="false" customHeight="false" outlineLevel="0" collapsed="false">
      <c r="A97" s="0" t="s">
        <v>85</v>
      </c>
      <c r="B97" s="7" t="n">
        <v>30</v>
      </c>
    </row>
    <row r="98" customFormat="false" ht="15" hidden="false" customHeight="false" outlineLevel="0" collapsed="false">
      <c r="A98" s="0" t="s">
        <v>86</v>
      </c>
      <c r="B98" s="9" t="n">
        <v>1.5</v>
      </c>
    </row>
    <row r="99" customFormat="false" ht="15" hidden="false" customHeight="false" outlineLevel="0" collapsed="false">
      <c r="A99" s="0" t="s">
        <v>87</v>
      </c>
      <c r="B99" s="9" t="n">
        <v>0.05</v>
      </c>
    </row>
    <row r="100" customFormat="false" ht="15" hidden="false" customHeight="false" outlineLevel="0" collapsed="false">
      <c r="A100" s="0" t="s">
        <v>88</v>
      </c>
      <c r="B100" s="4" t="n">
        <v>0.4</v>
      </c>
    </row>
    <row r="101" customFormat="false" ht="15" hidden="false" customHeight="false" outlineLevel="0" collapsed="false">
      <c r="A101" s="0" t="s">
        <v>89</v>
      </c>
      <c r="B101" s="4" t="n">
        <v>0.005</v>
      </c>
    </row>
    <row r="102" customFormat="false" ht="15" hidden="false" customHeight="false" outlineLevel="0" collapsed="false">
      <c r="A102" s="0" t="s">
        <v>90</v>
      </c>
      <c r="B102" s="4" t="n">
        <v>0.55</v>
      </c>
    </row>
    <row r="103" customFormat="false" ht="15" hidden="false" customHeight="false" outlineLevel="0" collapsed="false">
      <c r="A103" s="0" t="s">
        <v>91</v>
      </c>
      <c r="B103" s="4" t="n">
        <v>0.4</v>
      </c>
    </row>
    <row r="104" customFormat="false" ht="15" hidden="false" customHeight="false" outlineLevel="0" collapsed="false">
      <c r="A104" s="0" t="s">
        <v>92</v>
      </c>
      <c r="B104" s="4" t="n">
        <v>0.5</v>
      </c>
    </row>
  </sheetData>
  <mergeCells count="14">
    <mergeCell ref="A1:E1"/>
    <mergeCell ref="A2:E2"/>
    <mergeCell ref="A4:E4"/>
    <mergeCell ref="A10:E10"/>
    <mergeCell ref="A15:E15"/>
    <mergeCell ref="A20:E20"/>
    <mergeCell ref="A25:E25"/>
    <mergeCell ref="A30:E30"/>
    <mergeCell ref="A38:E38"/>
    <mergeCell ref="A47:E47"/>
    <mergeCell ref="A54:E54"/>
    <mergeCell ref="A64:E64"/>
    <mergeCell ref="A77:E77"/>
    <mergeCell ref="A91:E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22.05" hidden="false" customHeight="false" outlineLevel="0" collapsed="false">
      <c r="A1" s="1" t="s">
        <v>93</v>
      </c>
      <c r="B1" s="1"/>
      <c r="C1" s="1"/>
      <c r="D1" s="1"/>
    </row>
    <row r="3" customFormat="false" ht="15" hidden="false" customHeight="false" outlineLevel="0" collapsed="false">
      <c r="B3" s="10" t="s">
        <v>29</v>
      </c>
      <c r="C3" s="10" t="s">
        <v>30</v>
      </c>
      <c r="D3" s="10" t="s">
        <v>31</v>
      </c>
    </row>
    <row r="4" customFormat="false" ht="15" hidden="false" customHeight="false" outlineLevel="0" collapsed="false">
      <c r="A4" s="12" t="s">
        <v>94</v>
      </c>
      <c r="B4" s="18" t="n">
        <f aca="false">0</f>
        <v>0</v>
      </c>
      <c r="C4" s="18" t="n">
        <f aca="false">Assumptions!B26</f>
        <v>79</v>
      </c>
      <c r="D4" s="18" t="n">
        <f aca="false">Assumptions!B27</f>
        <v>249</v>
      </c>
    </row>
    <row r="5" customFormat="false" ht="15" hidden="false" customHeight="false" outlineLevel="0" collapsed="false">
      <c r="A5" s="12" t="s">
        <v>95</v>
      </c>
      <c r="B5" s="19" t="n">
        <f aca="false">Assumptions!C32+Assumptions!B79/100</f>
        <v>0.15</v>
      </c>
      <c r="C5" s="19" t="n">
        <f aca="false">Assumptions!D32+Assumptions!B79/100</f>
        <v>0.1</v>
      </c>
      <c r="D5" s="19" t="n">
        <f aca="false">Assumptions!E32+Assumptions!B79/100</f>
        <v>0.07</v>
      </c>
    </row>
    <row r="6" customFormat="false" ht="15" hidden="false" customHeight="false" outlineLevel="0" collapsed="false">
      <c r="A6" s="12" t="s">
        <v>96</v>
      </c>
      <c r="B6" s="19" t="n">
        <f aca="false">Assumptions!C33+Assumptions!B79/100</f>
        <v>0.13</v>
      </c>
      <c r="C6" s="19" t="n">
        <f aca="false">Assumptions!D33+Assumptions!B79/100</f>
        <v>0.085</v>
      </c>
      <c r="D6" s="19" t="n">
        <f aca="false">Assumptions!E33+Assumptions!B79/100</f>
        <v>0.06</v>
      </c>
    </row>
    <row r="7" customFormat="false" ht="15" hidden="false" customHeight="false" outlineLevel="0" collapsed="false">
      <c r="A7" s="12" t="s">
        <v>97</v>
      </c>
      <c r="B7" s="19" t="n">
        <f aca="false">Assumptions!C34+Assumptions!B79/100</f>
        <v>0.11</v>
      </c>
      <c r="C7" s="19" t="n">
        <f aca="false">Assumptions!D34+Assumptions!B79/100</f>
        <v>0.07</v>
      </c>
      <c r="D7" s="19" t="n">
        <f aca="false">Assumptions!E34+Assumptions!B79/100</f>
        <v>0.05</v>
      </c>
    </row>
    <row r="8" customFormat="false" ht="15" hidden="false" customHeight="false" outlineLevel="0" collapsed="false">
      <c r="A8" s="12" t="s">
        <v>98</v>
      </c>
      <c r="B8" s="19" t="n">
        <f aca="false">Assumptions!C35+Assumptions!B79/100</f>
        <v>0.09</v>
      </c>
      <c r="C8" s="19" t="n">
        <f aca="false">Assumptions!D35+Assumptions!B79/100</f>
        <v>0.06</v>
      </c>
      <c r="D8" s="19" t="n">
        <f aca="false">Assumptions!E35+Assumptions!B79/100</f>
        <v>0.05</v>
      </c>
    </row>
    <row r="9" customFormat="false" ht="15" hidden="false" customHeight="false" outlineLevel="0" collapsed="false">
      <c r="A9" s="12" t="s">
        <v>99</v>
      </c>
      <c r="B9" s="19" t="n">
        <f aca="false">Assumptions!C36+Assumptions!B79/100</f>
        <v>0.07</v>
      </c>
      <c r="C9" s="19" t="n">
        <f aca="false">Assumptions!D36+Assumptions!B79/100</f>
        <v>0.05</v>
      </c>
      <c r="D9" s="19" t="n">
        <f aca="false">Assumptions!E36+Assumptions!B79/100</f>
        <v>0.05</v>
      </c>
    </row>
    <row r="10" customFormat="false" ht="15" hidden="false" customHeight="false" outlineLevel="0" collapsed="false">
      <c r="A10" s="12" t="s">
        <v>100</v>
      </c>
      <c r="B10" s="19" t="n">
        <f aca="false">SUMPRODUCT(Assumptions!C32:C36+Assumptions!B79/100,Assumptions!B40:B44)</f>
        <v>0.1476</v>
      </c>
      <c r="C10" s="19" t="n">
        <f aca="false">SUMPRODUCT(Assumptions!D32:D36+Assumptions!B79/100,Assumptions!C40:C44)</f>
        <v>0.08925</v>
      </c>
      <c r="D10" s="19" t="n">
        <f aca="false">SUMPRODUCT(Assumptions!E32:E36+Assumptions!B79/100,Assumptions!D40:D44)</f>
        <v>0.059</v>
      </c>
    </row>
    <row r="11" customFormat="false" ht="15" hidden="false" customHeight="false" outlineLevel="0" collapsed="false">
      <c r="A11" s="12" t="s">
        <v>101</v>
      </c>
      <c r="B11" s="20" t="s">
        <v>102</v>
      </c>
      <c r="C11" s="20" t="s">
        <v>102</v>
      </c>
      <c r="D11" s="20" t="s">
        <v>102</v>
      </c>
    </row>
    <row r="12" customFormat="false" ht="15" hidden="false" customHeight="false" outlineLevel="0" collapsed="false">
      <c r="A12" s="12" t="s">
        <v>103</v>
      </c>
      <c r="B12" s="20" t="s">
        <v>102</v>
      </c>
      <c r="C12" s="20" t="s">
        <v>102</v>
      </c>
      <c r="D12" s="20" t="s">
        <v>102</v>
      </c>
    </row>
    <row r="13" customFormat="false" ht="15" hidden="false" customHeight="false" outlineLevel="0" collapsed="false">
      <c r="A13" s="12" t="s">
        <v>104</v>
      </c>
      <c r="B13" s="21" t="s">
        <v>105</v>
      </c>
      <c r="C13" s="21" t="n">
        <f aca="false">Assumptions!B68</f>
        <v>50</v>
      </c>
      <c r="D13" s="21" t="n">
        <f aca="false">Assumptions!B69</f>
        <v>200</v>
      </c>
    </row>
    <row r="14" customFormat="false" ht="15" hidden="false" customHeight="false" outlineLevel="0" collapsed="false">
      <c r="A14" s="12" t="s">
        <v>106</v>
      </c>
      <c r="B14" s="20" t="s">
        <v>107</v>
      </c>
      <c r="C14" s="20" t="s">
        <v>108</v>
      </c>
      <c r="D14" s="20" t="s">
        <v>109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6"/>
    <col collapsed="false" customWidth="true" hidden="false" outlineLevel="0" max="5" min="5" style="0" width="14"/>
  </cols>
  <sheetData>
    <row r="1" customFormat="false" ht="22.05" hidden="false" customHeight="false" outlineLevel="0" collapsed="false">
      <c r="A1" s="1" t="s">
        <v>110</v>
      </c>
      <c r="B1" s="1"/>
      <c r="C1" s="1"/>
      <c r="D1" s="1"/>
      <c r="E1" s="1"/>
    </row>
    <row r="2" customFormat="false" ht="43.5" hidden="false" customHeight="true" outlineLevel="0" collapsed="false">
      <c r="A2" s="22" t="s">
        <v>111</v>
      </c>
      <c r="B2" s="22"/>
      <c r="C2" s="22"/>
      <c r="D2" s="22"/>
      <c r="E2" s="22"/>
    </row>
    <row r="4" customFormat="false" ht="15" hidden="false" customHeight="false" outlineLevel="0" collapsed="false">
      <c r="B4" s="10" t="s">
        <v>112</v>
      </c>
      <c r="C4" s="10" t="s">
        <v>113</v>
      </c>
      <c r="D4" s="10" t="s">
        <v>114</v>
      </c>
    </row>
    <row r="5" customFormat="false" ht="15" hidden="false" customHeight="false" outlineLevel="0" collapsed="false">
      <c r="A5" s="23" t="s">
        <v>115</v>
      </c>
      <c r="B5" s="20" t="s">
        <v>116</v>
      </c>
      <c r="C5" s="20" t="s">
        <v>117</v>
      </c>
      <c r="D5" s="20" t="s">
        <v>118</v>
      </c>
    </row>
    <row r="6" customFormat="false" ht="28.35" hidden="false" customHeight="false" outlineLevel="0" collapsed="false">
      <c r="A6" s="23" t="s">
        <v>119</v>
      </c>
      <c r="B6" s="20" t="s">
        <v>120</v>
      </c>
      <c r="C6" s="20" t="s">
        <v>121</v>
      </c>
      <c r="D6" s="20" t="s">
        <v>122</v>
      </c>
    </row>
    <row r="7" customFormat="false" ht="15" hidden="false" customHeight="false" outlineLevel="0" collapsed="false">
      <c r="A7" s="23" t="s">
        <v>123</v>
      </c>
      <c r="B7" s="24" t="n">
        <f aca="false">Assumptions!B55</f>
        <v>0.05</v>
      </c>
      <c r="C7" s="24" t="n">
        <f aca="false">Assumptions!B56</f>
        <v>0.035</v>
      </c>
      <c r="D7" s="24" t="n">
        <f aca="false">Assumptions!B57</f>
        <v>0.02</v>
      </c>
    </row>
    <row r="8" customFormat="false" ht="15" hidden="false" customHeight="false" outlineLevel="0" collapsed="false">
      <c r="A8" s="23" t="s">
        <v>124</v>
      </c>
      <c r="B8" s="18" t="n">
        <v>0</v>
      </c>
      <c r="C8" s="18" t="n">
        <v>0</v>
      </c>
      <c r="D8" s="18" t="n">
        <v>0</v>
      </c>
    </row>
    <row r="9" customFormat="false" ht="15" hidden="false" customHeight="false" outlineLevel="0" collapsed="false">
      <c r="A9" s="23" t="s">
        <v>125</v>
      </c>
      <c r="B9" s="20" t="s">
        <v>102</v>
      </c>
      <c r="C9" s="20" t="s">
        <v>126</v>
      </c>
      <c r="D9" s="20" t="s">
        <v>127</v>
      </c>
    </row>
    <row r="10" customFormat="false" ht="15" hidden="false" customHeight="false" outlineLevel="0" collapsed="false">
      <c r="A10" s="23" t="s">
        <v>128</v>
      </c>
      <c r="B10" s="20" t="s">
        <v>102</v>
      </c>
      <c r="C10" s="20" t="s">
        <v>102</v>
      </c>
      <c r="D10" s="20" t="s">
        <v>102</v>
      </c>
    </row>
    <row r="11" customFormat="false" ht="15" hidden="false" customHeight="false" outlineLevel="0" collapsed="false">
      <c r="A11" s="23" t="s">
        <v>129</v>
      </c>
      <c r="B11" s="20" t="s">
        <v>102</v>
      </c>
      <c r="C11" s="20" t="s">
        <v>102</v>
      </c>
      <c r="D11" s="20" t="s">
        <v>102</v>
      </c>
    </row>
    <row r="12" customFormat="false" ht="15" hidden="false" customHeight="false" outlineLevel="0" collapsed="false">
      <c r="A12" s="23" t="s">
        <v>130</v>
      </c>
      <c r="B12" s="20" t="s">
        <v>102</v>
      </c>
      <c r="C12" s="20" t="s">
        <v>102</v>
      </c>
      <c r="D12" s="20" t="s">
        <v>102</v>
      </c>
    </row>
    <row r="13" customFormat="false" ht="15" hidden="false" customHeight="false" outlineLevel="0" collapsed="false">
      <c r="A13" s="23" t="s">
        <v>131</v>
      </c>
      <c r="B13" s="20" t="s">
        <v>132</v>
      </c>
      <c r="C13" s="20" t="s">
        <v>133</v>
      </c>
      <c r="D13" s="20" t="s">
        <v>134</v>
      </c>
    </row>
    <row r="14" customFormat="false" ht="15" hidden="false" customHeight="false" outlineLevel="0" collapsed="false">
      <c r="A14" s="23" t="s">
        <v>135</v>
      </c>
      <c r="B14" s="20" t="s">
        <v>112</v>
      </c>
      <c r="C14" s="20" t="s">
        <v>113</v>
      </c>
      <c r="D14" s="20" t="s">
        <v>114</v>
      </c>
    </row>
    <row r="15" customFormat="false" ht="28.35" hidden="false" customHeight="false" outlineLevel="0" collapsed="false">
      <c r="A15" s="23" t="s">
        <v>136</v>
      </c>
      <c r="B15" s="20" t="s">
        <v>137</v>
      </c>
      <c r="C15" s="20" t="s">
        <v>138</v>
      </c>
      <c r="D15" s="20" t="s">
        <v>139</v>
      </c>
    </row>
    <row r="16" customFormat="false" ht="28.35" hidden="false" customHeight="false" outlineLevel="0" collapsed="false">
      <c r="A16" s="23" t="s">
        <v>140</v>
      </c>
      <c r="B16" s="20" t="s">
        <v>105</v>
      </c>
      <c r="C16" s="20" t="s">
        <v>141</v>
      </c>
      <c r="D16" s="20" t="s">
        <v>141</v>
      </c>
    </row>
    <row r="17" customFormat="false" ht="15" hidden="false" customHeight="false" outlineLevel="0" collapsed="false">
      <c r="A17" s="23" t="s">
        <v>142</v>
      </c>
      <c r="B17" s="24" t="n">
        <f aca="false">Assumptions!B58</f>
        <v>0.7</v>
      </c>
      <c r="C17" s="24" t="n">
        <f aca="false">Assumptions!B59</f>
        <v>0.25</v>
      </c>
      <c r="D17" s="24" t="n">
        <f aca="false">Assumptions!B60</f>
        <v>0.05</v>
      </c>
    </row>
    <row r="19" customFormat="false" ht="15" hidden="false" customHeight="false" outlineLevel="0" collapsed="false">
      <c r="A19" s="25" t="s">
        <v>143</v>
      </c>
      <c r="B19" s="26" t="n">
        <f aca="false">Assumptions!B55*Assumptions!B58+Assumptions!B56*Assumptions!B59+Assumptions!B57*Assumptions!B60</f>
        <v>0.04475</v>
      </c>
    </row>
    <row r="21" customFormat="false" ht="16.15" hidden="false" customHeight="false" outlineLevel="0" collapsed="false">
      <c r="A21" s="27" t="s">
        <v>144</v>
      </c>
      <c r="B21" s="27"/>
      <c r="C21" s="27"/>
      <c r="D21" s="27"/>
    </row>
    <row r="22" customFormat="false" ht="15" hidden="false" customHeight="false" outlineLevel="0" collapsed="false">
      <c r="A22" s="0" t="s">
        <v>145</v>
      </c>
      <c r="B22" s="28" t="n">
        <f aca="false">1000*Assumptions!B49</f>
        <v>8000</v>
      </c>
    </row>
    <row r="23" customFormat="false" ht="15" hidden="false" customHeight="false" outlineLevel="0" collapsed="false">
      <c r="A23" s="0" t="s">
        <v>146</v>
      </c>
      <c r="B23" s="28" t="n">
        <f aca="false">1000*Assumptions!B49*Assumptions!B55</f>
        <v>400</v>
      </c>
    </row>
    <row r="24" customFormat="false" ht="15" hidden="false" customHeight="false" outlineLevel="0" collapsed="false">
      <c r="A24" s="0" t="s">
        <v>147</v>
      </c>
      <c r="B24" s="28" t="n">
        <f aca="false">1000*Assumptions!B49*Assumptions!B56</f>
        <v>280</v>
      </c>
    </row>
    <row r="25" customFormat="false" ht="15" hidden="false" customHeight="false" outlineLevel="0" collapsed="false">
      <c r="A25" s="0" t="s">
        <v>148</v>
      </c>
      <c r="B25" s="28" t="n">
        <f aca="false">1000*Assumptions!B49*Assumptions!B57</f>
        <v>160</v>
      </c>
    </row>
    <row r="26" customFormat="false" ht="15" hidden="false" customHeight="false" outlineLevel="0" collapsed="false">
      <c r="A26" s="11" t="s">
        <v>149</v>
      </c>
      <c r="B26" s="29" t="n">
        <f aca="false">B22-B25</f>
        <v>7840</v>
      </c>
    </row>
    <row r="28" customFormat="false" ht="16.15" hidden="false" customHeight="false" outlineLevel="0" collapsed="false">
      <c r="A28" s="17" t="s">
        <v>150</v>
      </c>
    </row>
    <row r="29" customFormat="false" ht="15" hidden="false" customHeight="true" outlineLevel="0" collapsed="false">
      <c r="A29" s="30" t="s">
        <v>151</v>
      </c>
      <c r="B29" s="30"/>
      <c r="C29" s="30"/>
      <c r="D29" s="30"/>
      <c r="E29" s="30"/>
    </row>
    <row r="30" customFormat="false" ht="15" hidden="false" customHeight="true" outlineLevel="0" collapsed="false">
      <c r="A30" s="30" t="s">
        <v>152</v>
      </c>
      <c r="B30" s="30"/>
      <c r="C30" s="30"/>
      <c r="D30" s="30"/>
      <c r="E30" s="30"/>
    </row>
    <row r="31" customFormat="false" ht="15" hidden="false" customHeight="true" outlineLevel="0" collapsed="false">
      <c r="A31" s="30" t="s">
        <v>153</v>
      </c>
      <c r="B31" s="30"/>
      <c r="C31" s="30"/>
      <c r="D31" s="30"/>
      <c r="E31" s="30"/>
    </row>
    <row r="32" customFormat="false" ht="15" hidden="false" customHeight="true" outlineLevel="0" collapsed="false">
      <c r="A32" s="30" t="s">
        <v>154</v>
      </c>
      <c r="B32" s="30"/>
      <c r="C32" s="30"/>
      <c r="D32" s="30"/>
      <c r="E32" s="30"/>
    </row>
    <row r="33" customFormat="false" ht="15" hidden="false" customHeight="true" outlineLevel="0" collapsed="false">
      <c r="A33" s="30" t="s">
        <v>155</v>
      </c>
      <c r="B33" s="30"/>
      <c r="C33" s="30"/>
      <c r="D33" s="30"/>
      <c r="E33" s="30"/>
    </row>
    <row r="34" customFormat="false" ht="15" hidden="false" customHeight="true" outlineLevel="0" collapsed="false">
      <c r="A34" s="30" t="s">
        <v>156</v>
      </c>
      <c r="B34" s="30"/>
      <c r="C34" s="30"/>
      <c r="D34" s="30"/>
      <c r="E34" s="30"/>
    </row>
    <row r="35" customFormat="false" ht="15" hidden="false" customHeight="true" outlineLevel="0" collapsed="false">
      <c r="A35" s="30" t="s">
        <v>157</v>
      </c>
      <c r="B35" s="30"/>
      <c r="C35" s="30"/>
      <c r="D35" s="30"/>
      <c r="E35" s="30"/>
    </row>
    <row r="36" customFormat="false" ht="15" hidden="false" customHeight="true" outlineLevel="0" collapsed="false">
      <c r="A36" s="30" t="s">
        <v>158</v>
      </c>
      <c r="B36" s="30"/>
      <c r="C36" s="30"/>
      <c r="D36" s="30"/>
      <c r="E36" s="30"/>
    </row>
    <row r="37" customFormat="false" ht="15" hidden="false" customHeight="true" outlineLevel="0" collapsed="false">
      <c r="A37" s="30" t="s">
        <v>159</v>
      </c>
      <c r="B37" s="30"/>
      <c r="C37" s="30"/>
      <c r="D37" s="30"/>
      <c r="E37" s="30"/>
    </row>
    <row r="38" customFormat="false" ht="15" hidden="false" customHeight="true" outlineLevel="0" collapsed="false">
      <c r="A38" s="30" t="s">
        <v>160</v>
      </c>
      <c r="B38" s="30"/>
      <c r="C38" s="30"/>
      <c r="D38" s="30"/>
      <c r="E38" s="30"/>
    </row>
  </sheetData>
  <mergeCells count="13">
    <mergeCell ref="A1:E1"/>
    <mergeCell ref="A2:E2"/>
    <mergeCell ref="A21:D21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7" min="4" style="0" width="26"/>
    <col collapsed="false" customWidth="true" hidden="false" outlineLevel="0" max="8" min="8" style="0" width="14"/>
  </cols>
  <sheetData>
    <row r="1" customFormat="false" ht="22.05" hidden="false" customHeight="false" outlineLevel="0" collapsed="false">
      <c r="A1" s="1" t="s">
        <v>161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162</v>
      </c>
      <c r="B2" s="2"/>
      <c r="C2" s="2"/>
      <c r="D2" s="2"/>
      <c r="E2" s="2"/>
      <c r="F2" s="2"/>
      <c r="G2" s="2"/>
      <c r="H2" s="2"/>
    </row>
    <row r="4" customFormat="false" ht="16.15" hidden="false" customHeight="false" outlineLevel="0" collapsed="false">
      <c r="A4" s="3" t="s">
        <v>163</v>
      </c>
      <c r="B4" s="3"/>
      <c r="C4" s="3"/>
      <c r="D4" s="3"/>
      <c r="E4" s="3"/>
      <c r="F4" s="3"/>
      <c r="G4" s="3"/>
      <c r="H4" s="3"/>
    </row>
    <row r="5" customFormat="false" ht="28.35" hidden="false" customHeight="false" outlineLevel="0" collapsed="false">
      <c r="A5" s="10" t="s">
        <v>27</v>
      </c>
      <c r="B5" s="10" t="s">
        <v>164</v>
      </c>
      <c r="C5" s="10" t="s">
        <v>165</v>
      </c>
      <c r="D5" s="10" t="s">
        <v>166</v>
      </c>
    </row>
    <row r="6" customFormat="false" ht="23.85" hidden="false" customHeight="false" outlineLevel="0" collapsed="false">
      <c r="A6" s="31" t="s">
        <v>29</v>
      </c>
      <c r="B6" s="32" t="n">
        <v>0</v>
      </c>
      <c r="C6" s="33" t="n">
        <f aca="false">Assumptions!C32</f>
        <v>0.15</v>
      </c>
      <c r="D6" s="34" t="s">
        <v>167</v>
      </c>
    </row>
    <row r="7" customFormat="false" ht="15" hidden="false" customHeight="false" outlineLevel="0" collapsed="false">
      <c r="A7" s="31" t="s">
        <v>30</v>
      </c>
      <c r="B7" s="32" t="n">
        <f aca="false">Assumptions!B26</f>
        <v>79</v>
      </c>
      <c r="C7" s="33" t="n">
        <f aca="false">Assumptions!D32</f>
        <v>0.1</v>
      </c>
      <c r="D7" s="34" t="s">
        <v>168</v>
      </c>
    </row>
    <row r="8" customFormat="false" ht="15" hidden="false" customHeight="false" outlineLevel="0" collapsed="false">
      <c r="A8" s="31" t="s">
        <v>31</v>
      </c>
      <c r="B8" s="32" t="n">
        <f aca="false">Assumptions!B27</f>
        <v>249</v>
      </c>
      <c r="C8" s="33" t="n">
        <f aca="false">Assumptions!E32</f>
        <v>0.07</v>
      </c>
      <c r="D8" s="34" t="s">
        <v>168</v>
      </c>
    </row>
    <row r="10" customFormat="false" ht="30" hidden="false" customHeight="true" outlineLevel="0" collapsed="false">
      <c r="A10" s="22" t="s">
        <v>169</v>
      </c>
      <c r="B10" s="22"/>
      <c r="C10" s="22"/>
      <c r="D10" s="22"/>
      <c r="E10" s="22"/>
      <c r="F10" s="22"/>
      <c r="G10" s="22"/>
      <c r="H10" s="22"/>
    </row>
    <row r="13" customFormat="false" ht="16.15" hidden="false" customHeight="false" outlineLevel="0" collapsed="false">
      <c r="A13" s="3" t="s">
        <v>170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10" t="s">
        <v>27</v>
      </c>
      <c r="B14" s="10" t="s">
        <v>171</v>
      </c>
      <c r="C14" s="10" t="s">
        <v>172</v>
      </c>
      <c r="D14" s="10" t="s">
        <v>173</v>
      </c>
      <c r="E14" s="10" t="s">
        <v>174</v>
      </c>
      <c r="F14" s="10" t="s">
        <v>175</v>
      </c>
      <c r="G14" s="10" t="s">
        <v>176</v>
      </c>
    </row>
    <row r="15" customFormat="false" ht="15" hidden="false" customHeight="false" outlineLevel="0" collapsed="false">
      <c r="A15" s="31" t="s">
        <v>177</v>
      </c>
      <c r="B15" s="20" t="s">
        <v>178</v>
      </c>
      <c r="C15" s="20" t="s">
        <v>179</v>
      </c>
      <c r="D15" s="20" t="s">
        <v>179</v>
      </c>
      <c r="E15" s="20" t="s">
        <v>180</v>
      </c>
      <c r="F15" s="20" t="s">
        <v>181</v>
      </c>
      <c r="G15" s="20" t="s">
        <v>182</v>
      </c>
    </row>
    <row r="16" customFormat="false" ht="15" hidden="false" customHeight="false" outlineLevel="0" collapsed="false">
      <c r="A16" s="31" t="s">
        <v>183</v>
      </c>
      <c r="B16" s="20" t="s">
        <v>184</v>
      </c>
      <c r="C16" s="20" t="s">
        <v>182</v>
      </c>
      <c r="D16" s="20" t="s">
        <v>182</v>
      </c>
      <c r="E16" s="20" t="s">
        <v>185</v>
      </c>
      <c r="F16" s="20" t="s">
        <v>185</v>
      </c>
      <c r="G16" s="20" t="s">
        <v>186</v>
      </c>
    </row>
    <row r="17" customFormat="false" ht="15" hidden="false" customHeight="false" outlineLevel="0" collapsed="false">
      <c r="A17" s="31" t="s">
        <v>187</v>
      </c>
      <c r="B17" s="20" t="s">
        <v>182</v>
      </c>
      <c r="C17" s="20" t="s">
        <v>186</v>
      </c>
      <c r="D17" s="20" t="s">
        <v>186</v>
      </c>
      <c r="E17" s="20" t="s">
        <v>188</v>
      </c>
      <c r="F17" s="20" t="s">
        <v>188</v>
      </c>
      <c r="G17" s="20" t="s">
        <v>189</v>
      </c>
    </row>
    <row r="18" customFormat="false" ht="15" hidden="false" customHeight="false" outlineLevel="0" collapsed="false">
      <c r="A18" s="31" t="s">
        <v>190</v>
      </c>
      <c r="B18" s="20" t="s">
        <v>191</v>
      </c>
      <c r="C18" s="20" t="s">
        <v>189</v>
      </c>
      <c r="D18" s="20" t="s">
        <v>189</v>
      </c>
      <c r="E18" s="20" t="s">
        <v>192</v>
      </c>
      <c r="F18" s="20" t="s">
        <v>192</v>
      </c>
      <c r="G18" s="20" t="s">
        <v>193</v>
      </c>
    </row>
    <row r="19" customFormat="false" ht="15" hidden="false" customHeight="false" outlineLevel="0" collapsed="false">
      <c r="A19" s="31" t="s">
        <v>194</v>
      </c>
      <c r="B19" s="20" t="s">
        <v>195</v>
      </c>
      <c r="C19" s="20" t="s">
        <v>193</v>
      </c>
      <c r="D19" s="20" t="s">
        <v>193</v>
      </c>
      <c r="E19" s="20" t="s">
        <v>196</v>
      </c>
      <c r="F19" s="20" t="s">
        <v>196</v>
      </c>
      <c r="G19" s="20" t="s">
        <v>197</v>
      </c>
    </row>
    <row r="20" customFormat="false" ht="15" hidden="false" customHeight="false" outlineLevel="0" collapsed="false">
      <c r="A20" s="31" t="s">
        <v>198</v>
      </c>
      <c r="B20" s="20" t="s">
        <v>199</v>
      </c>
      <c r="C20" s="20" t="s">
        <v>200</v>
      </c>
      <c r="D20" s="20" t="s">
        <v>200</v>
      </c>
      <c r="E20" s="20" t="s">
        <v>200</v>
      </c>
      <c r="F20" s="20" t="s">
        <v>200</v>
      </c>
      <c r="G20" s="20" t="s">
        <v>201</v>
      </c>
    </row>
    <row r="23" customFormat="false" ht="16.15" hidden="false" customHeight="false" outlineLevel="0" collapsed="false">
      <c r="A23" s="3" t="s">
        <v>202</v>
      </c>
      <c r="B23" s="3"/>
      <c r="C23" s="3"/>
      <c r="D23" s="3"/>
      <c r="E23" s="3"/>
      <c r="F23" s="3"/>
      <c r="G23" s="3"/>
      <c r="H23" s="3"/>
    </row>
    <row r="24" customFormat="false" ht="28.35" hidden="false" customHeight="false" outlineLevel="0" collapsed="false">
      <c r="A24" s="10" t="s">
        <v>27</v>
      </c>
      <c r="B24" s="10" t="s">
        <v>203</v>
      </c>
      <c r="C24" s="10" t="s">
        <v>204</v>
      </c>
      <c r="D24" s="10" t="s">
        <v>205</v>
      </c>
      <c r="E24" s="10" t="s">
        <v>206</v>
      </c>
      <c r="F24" s="10" t="s">
        <v>207</v>
      </c>
      <c r="G24" s="10" t="s">
        <v>208</v>
      </c>
    </row>
    <row r="25" customFormat="false" ht="15" hidden="false" customHeight="false" outlineLevel="0" collapsed="false">
      <c r="A25" s="35" t="s">
        <v>209</v>
      </c>
      <c r="B25" s="35" t="s">
        <v>210</v>
      </c>
      <c r="C25" s="35" t="s">
        <v>211</v>
      </c>
      <c r="D25" s="35" t="s">
        <v>105</v>
      </c>
      <c r="E25" s="35" t="s">
        <v>105</v>
      </c>
      <c r="F25" s="35" t="s">
        <v>105</v>
      </c>
      <c r="G25" s="35" t="s">
        <v>105</v>
      </c>
    </row>
    <row r="26" customFormat="false" ht="15" hidden="false" customHeight="false" outlineLevel="0" collapsed="false">
      <c r="A26" s="35" t="s">
        <v>209</v>
      </c>
      <c r="B26" s="35" t="s">
        <v>212</v>
      </c>
      <c r="C26" s="35" t="s">
        <v>211</v>
      </c>
      <c r="D26" s="35" t="s">
        <v>105</v>
      </c>
      <c r="E26" s="35" t="s">
        <v>105</v>
      </c>
      <c r="F26" s="35" t="s">
        <v>105</v>
      </c>
      <c r="G26" s="35" t="s">
        <v>105</v>
      </c>
    </row>
    <row r="27" customFormat="false" ht="15" hidden="false" customHeight="false" outlineLevel="0" collapsed="false">
      <c r="A27" s="31" t="s">
        <v>177</v>
      </c>
      <c r="B27" s="34" t="s">
        <v>178</v>
      </c>
      <c r="C27" s="34" t="s">
        <v>213</v>
      </c>
      <c r="D27" s="36" t="n">
        <v>7.84</v>
      </c>
      <c r="E27" s="37" t="n">
        <f aca="false">D27*(1+Assumptions!C32)</f>
        <v>9.016</v>
      </c>
      <c r="F27" s="37" t="n">
        <f aca="false">D27*(1+Assumptions!D32)</f>
        <v>8.624</v>
      </c>
      <c r="G27" s="37" t="n">
        <f aca="false">D27*(1+Assumptions!E32)</f>
        <v>8.3888</v>
      </c>
    </row>
    <row r="28" customFormat="false" ht="15" hidden="false" customHeight="false" outlineLevel="0" collapsed="false">
      <c r="A28" s="31" t="s">
        <v>183</v>
      </c>
      <c r="B28" s="34" t="s">
        <v>181</v>
      </c>
      <c r="C28" s="34" t="s">
        <v>213</v>
      </c>
      <c r="D28" s="36" t="n">
        <v>7.11</v>
      </c>
      <c r="E28" s="37" t="n">
        <f aca="false">D28*(1+Assumptions!C32)</f>
        <v>8.1765</v>
      </c>
      <c r="F28" s="37" t="n">
        <f aca="false">D28*(1+Assumptions!D32)</f>
        <v>7.821</v>
      </c>
      <c r="G28" s="37" t="n">
        <f aca="false">D28*(1+Assumptions!E32)</f>
        <v>7.6077</v>
      </c>
    </row>
    <row r="29" customFormat="false" ht="15" hidden="false" customHeight="false" outlineLevel="0" collapsed="false">
      <c r="A29" s="31" t="s">
        <v>187</v>
      </c>
      <c r="B29" s="34" t="s">
        <v>179</v>
      </c>
      <c r="C29" s="34" t="s">
        <v>213</v>
      </c>
      <c r="D29" s="36" t="n">
        <v>6.74</v>
      </c>
      <c r="E29" s="37" t="n">
        <f aca="false">D29*(1+Assumptions!C32)</f>
        <v>7.751</v>
      </c>
      <c r="F29" s="37" t="n">
        <f aca="false">D29*(1+Assumptions!D32)</f>
        <v>7.414</v>
      </c>
      <c r="G29" s="37" t="n">
        <f aca="false">D29*(1+Assumptions!E32)</f>
        <v>7.2118</v>
      </c>
    </row>
    <row r="30" customFormat="false" ht="15" hidden="false" customHeight="false" outlineLevel="0" collapsed="false">
      <c r="A30" s="31" t="s">
        <v>190</v>
      </c>
      <c r="B30" s="34" t="s">
        <v>214</v>
      </c>
      <c r="C30" s="34" t="s">
        <v>213</v>
      </c>
      <c r="D30" s="36" t="n">
        <v>6.43</v>
      </c>
      <c r="E30" s="37" t="n">
        <f aca="false">D30*(1+Assumptions!C32)</f>
        <v>7.3945</v>
      </c>
      <c r="F30" s="37" t="n">
        <f aca="false">D30*(1+Assumptions!D32)</f>
        <v>7.073</v>
      </c>
      <c r="G30" s="37" t="n">
        <f aca="false">D30*(1+Assumptions!E32)</f>
        <v>6.8801</v>
      </c>
    </row>
    <row r="31" customFormat="false" ht="15" hidden="false" customHeight="false" outlineLevel="0" collapsed="false">
      <c r="A31" s="31" t="s">
        <v>194</v>
      </c>
      <c r="B31" s="34" t="s">
        <v>215</v>
      </c>
      <c r="C31" s="34" t="s">
        <v>213</v>
      </c>
      <c r="D31" s="36" t="n">
        <v>5.83</v>
      </c>
      <c r="E31" s="37" t="n">
        <f aca="false">D31*(1+Assumptions!C32)</f>
        <v>6.7045</v>
      </c>
      <c r="F31" s="37" t="n">
        <f aca="false">D31*(1+Assumptions!D32)</f>
        <v>6.413</v>
      </c>
      <c r="G31" s="37" t="n">
        <f aca="false">D31*(1+Assumptions!E32)</f>
        <v>6.2381</v>
      </c>
    </row>
    <row r="32" customFormat="false" ht="15" hidden="false" customHeight="false" outlineLevel="0" collapsed="false">
      <c r="A32" s="31" t="s">
        <v>198</v>
      </c>
      <c r="B32" s="34" t="s">
        <v>216</v>
      </c>
      <c r="C32" s="34" t="s">
        <v>213</v>
      </c>
      <c r="D32" s="36" t="n">
        <v>5.4</v>
      </c>
      <c r="E32" s="37" t="n">
        <f aca="false">D32*(1+Assumptions!C32)</f>
        <v>6.21</v>
      </c>
      <c r="F32" s="37" t="n">
        <f aca="false">D32*(1+Assumptions!D32)</f>
        <v>5.94</v>
      </c>
      <c r="G32" s="37" t="n">
        <f aca="false">D32*(1+Assumptions!E32)</f>
        <v>5.778</v>
      </c>
    </row>
    <row r="35" customFormat="false" ht="16.15" hidden="false" customHeight="false" outlineLevel="0" collapsed="false">
      <c r="A35" s="3" t="s">
        <v>217</v>
      </c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23" t="s">
        <v>218</v>
      </c>
      <c r="B36" s="38" t="n">
        <v>5000</v>
      </c>
    </row>
    <row r="37" customFormat="false" ht="15" hidden="false" customHeight="false" outlineLevel="0" collapsed="false">
      <c r="A37" s="23" t="s">
        <v>219</v>
      </c>
      <c r="B37" s="39" t="n">
        <f aca="false">D32</f>
        <v>5.4</v>
      </c>
    </row>
    <row r="38" customFormat="false" ht="15" hidden="false" customHeight="false" outlineLevel="0" collapsed="false">
      <c r="A38" s="23" t="s">
        <v>220</v>
      </c>
      <c r="B38" s="40" t="n">
        <f aca="false">B36*B37</f>
        <v>27000</v>
      </c>
    </row>
    <row r="39" customFormat="false" ht="15" hidden="false" customHeight="false" outlineLevel="0" collapsed="false">
      <c r="A39" s="10" t="s">
        <v>27</v>
      </c>
      <c r="B39" s="10" t="s">
        <v>221</v>
      </c>
      <c r="C39" s="10" t="s">
        <v>222</v>
      </c>
      <c r="D39" s="10" t="s">
        <v>223</v>
      </c>
      <c r="E39" s="10" t="s">
        <v>224</v>
      </c>
    </row>
    <row r="40" customFormat="false" ht="15" hidden="false" customHeight="false" outlineLevel="0" collapsed="false">
      <c r="A40" s="31" t="s">
        <v>29</v>
      </c>
      <c r="B40" s="33" t="n">
        <f aca="false">Assumptions!C32</f>
        <v>0.15</v>
      </c>
      <c r="C40" s="40" t="n">
        <f aca="false">B38*B40</f>
        <v>4050</v>
      </c>
      <c r="D40" s="40" t="n">
        <f aca="false">B38+C40</f>
        <v>31050</v>
      </c>
      <c r="E40" s="40" t="n">
        <f aca="false">$D$40-D40</f>
        <v>0</v>
      </c>
    </row>
    <row r="41" customFormat="false" ht="15" hidden="false" customHeight="false" outlineLevel="0" collapsed="false">
      <c r="A41" s="31" t="s">
        <v>30</v>
      </c>
      <c r="B41" s="33" t="n">
        <f aca="false">Assumptions!D32</f>
        <v>0.1</v>
      </c>
      <c r="C41" s="40" t="n">
        <f aca="false">B38*B41</f>
        <v>2700</v>
      </c>
      <c r="D41" s="40" t="n">
        <f aca="false">B38+C41</f>
        <v>29700</v>
      </c>
      <c r="E41" s="40" t="n">
        <f aca="false">$D$40-D41</f>
        <v>1350</v>
      </c>
    </row>
    <row r="42" customFormat="false" ht="15" hidden="false" customHeight="false" outlineLevel="0" collapsed="false">
      <c r="A42" s="31" t="s">
        <v>31</v>
      </c>
      <c r="B42" s="33" t="n">
        <f aca="false">Assumptions!E32</f>
        <v>0.07</v>
      </c>
      <c r="C42" s="40" t="n">
        <f aca="false">B38*B42</f>
        <v>1890</v>
      </c>
      <c r="D42" s="40" t="n">
        <f aca="false">B38+C42</f>
        <v>28890</v>
      </c>
      <c r="E42" s="40" t="n">
        <f aca="false">$D$40-D42</f>
        <v>2160</v>
      </c>
    </row>
    <row r="44" customFormat="false" ht="16.15" hidden="false" customHeight="false" outlineLevel="0" collapsed="false">
      <c r="A44" s="3" t="s">
        <v>225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41" t="s">
        <v>226</v>
      </c>
      <c r="B45" s="41"/>
      <c r="C45" s="41"/>
      <c r="D45" s="41"/>
      <c r="E45" s="41"/>
      <c r="F45" s="41"/>
      <c r="G45" s="41"/>
      <c r="H45" s="41"/>
    </row>
    <row r="46" customFormat="false" ht="15" hidden="false" customHeight="false" outlineLevel="0" collapsed="false">
      <c r="A46" s="41" t="s">
        <v>227</v>
      </c>
      <c r="B46" s="41"/>
      <c r="C46" s="41"/>
      <c r="D46" s="41"/>
      <c r="E46" s="41"/>
      <c r="F46" s="41"/>
      <c r="G46" s="41"/>
      <c r="H46" s="41"/>
    </row>
    <row r="47" customFormat="false" ht="15" hidden="false" customHeight="false" outlineLevel="0" collapsed="false">
      <c r="A47" s="41" t="s">
        <v>228</v>
      </c>
      <c r="B47" s="41"/>
      <c r="C47" s="41"/>
      <c r="D47" s="41"/>
      <c r="E47" s="41"/>
      <c r="F47" s="41"/>
      <c r="G47" s="41"/>
      <c r="H47" s="41"/>
    </row>
    <row r="48" customFormat="false" ht="15" hidden="false" customHeight="false" outlineLevel="0" collapsed="false">
      <c r="A48" s="41" t="s">
        <v>229</v>
      </c>
      <c r="B48" s="41"/>
      <c r="C48" s="41"/>
      <c r="D48" s="41"/>
      <c r="E48" s="41"/>
      <c r="F48" s="41"/>
      <c r="G48" s="41"/>
      <c r="H48" s="41"/>
    </row>
    <row r="49" customFormat="false" ht="15" hidden="false" customHeight="false" outlineLevel="0" collapsed="false">
      <c r="A49" s="41" t="s">
        <v>230</v>
      </c>
      <c r="B49" s="41"/>
      <c r="C49" s="41"/>
      <c r="D49" s="41"/>
      <c r="E49" s="41"/>
      <c r="F49" s="41"/>
      <c r="G49" s="41"/>
      <c r="H49" s="41"/>
    </row>
    <row r="50" customFormat="false" ht="15" hidden="false" customHeight="false" outlineLevel="0" collapsed="false">
      <c r="A50" s="41" t="s">
        <v>231</v>
      </c>
      <c r="B50" s="41"/>
      <c r="C50" s="41"/>
      <c r="D50" s="41"/>
      <c r="E50" s="41"/>
      <c r="F50" s="41"/>
      <c r="G50" s="41"/>
      <c r="H50" s="41"/>
    </row>
    <row r="51" customFormat="false" ht="15" hidden="false" customHeight="false" outlineLevel="0" collapsed="false">
      <c r="A51" s="41" t="s">
        <v>232</v>
      </c>
      <c r="B51" s="41"/>
      <c r="C51" s="41"/>
      <c r="D51" s="41"/>
      <c r="E51" s="41"/>
      <c r="F51" s="41"/>
      <c r="G51" s="41"/>
      <c r="H51" s="41"/>
    </row>
    <row r="52" customFormat="false" ht="15" hidden="false" customHeight="false" outlineLevel="0" collapsed="false">
      <c r="A52" s="41" t="s">
        <v>233</v>
      </c>
      <c r="B52" s="41"/>
      <c r="C52" s="41"/>
      <c r="D52" s="41"/>
      <c r="E52" s="41"/>
      <c r="F52" s="41"/>
      <c r="G52" s="41"/>
      <c r="H52" s="41"/>
    </row>
    <row r="53" customFormat="false" ht="15" hidden="false" customHeight="false" outlineLevel="0" collapsed="false">
      <c r="A53" s="41" t="s">
        <v>234</v>
      </c>
      <c r="B53" s="41"/>
      <c r="C53" s="41"/>
      <c r="D53" s="41"/>
      <c r="E53" s="41"/>
      <c r="F53" s="41"/>
      <c r="G53" s="41"/>
      <c r="H53" s="41"/>
    </row>
    <row r="54" customFormat="false" ht="15" hidden="false" customHeight="false" outlineLevel="0" collapsed="false">
      <c r="A54" s="41" t="s">
        <v>235</v>
      </c>
      <c r="B54" s="41"/>
      <c r="C54" s="41"/>
      <c r="D54" s="41"/>
      <c r="E54" s="41"/>
      <c r="F54" s="41"/>
      <c r="G54" s="41"/>
      <c r="H54" s="41"/>
    </row>
    <row r="55" customFormat="false" ht="15" hidden="false" customHeight="false" outlineLevel="0" collapsed="false">
      <c r="A55" s="41" t="s">
        <v>236</v>
      </c>
      <c r="B55" s="41"/>
      <c r="C55" s="41"/>
      <c r="D55" s="41"/>
      <c r="E55" s="41"/>
      <c r="F55" s="41"/>
      <c r="G55" s="41"/>
      <c r="H55" s="41"/>
    </row>
    <row r="56" customFormat="false" ht="15" hidden="false" customHeight="false" outlineLevel="0" collapsed="false">
      <c r="A56" s="41" t="s">
        <v>237</v>
      </c>
      <c r="B56" s="41"/>
      <c r="C56" s="41"/>
      <c r="D56" s="41"/>
      <c r="E56" s="41"/>
      <c r="F56" s="41"/>
      <c r="G56" s="41"/>
      <c r="H56" s="41"/>
    </row>
    <row r="57" customFormat="false" ht="15" hidden="false" customHeight="false" outlineLevel="0" collapsed="false">
      <c r="A57" s="41" t="s">
        <v>238</v>
      </c>
      <c r="B57" s="41"/>
      <c r="C57" s="41"/>
      <c r="D57" s="41"/>
      <c r="E57" s="41"/>
      <c r="F57" s="41"/>
      <c r="G57" s="41"/>
      <c r="H57" s="41"/>
    </row>
  </sheetData>
  <mergeCells count="21">
    <mergeCell ref="A1:H1"/>
    <mergeCell ref="A2:H2"/>
    <mergeCell ref="A4:H4"/>
    <mergeCell ref="A10:H10"/>
    <mergeCell ref="A13:H13"/>
    <mergeCell ref="A23:H23"/>
    <mergeCell ref="A35:H35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22.05" hidden="false" customHeight="false" outlineLevel="0" collapsed="false">
      <c r="A1" s="1" t="s">
        <v>239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240</v>
      </c>
      <c r="B2" s="2"/>
      <c r="C2" s="2"/>
      <c r="D2" s="2"/>
      <c r="E2" s="2"/>
    </row>
    <row r="4" customFormat="false" ht="28.35" hidden="false" customHeight="false" outlineLevel="0" collapsed="false">
      <c r="A4" s="42" t="s">
        <v>241</v>
      </c>
      <c r="B4" s="10" t="s">
        <v>242</v>
      </c>
      <c r="C4" s="10" t="s">
        <v>243</v>
      </c>
      <c r="D4" s="10" t="s">
        <v>244</v>
      </c>
      <c r="E4" s="10" t="s">
        <v>245</v>
      </c>
    </row>
    <row r="5" customFormat="false" ht="15" hidden="false" customHeight="false" outlineLevel="0" collapsed="false">
      <c r="A5" s="43" t="s">
        <v>246</v>
      </c>
      <c r="B5" s="44" t="n">
        <f aca="false">ROUND(100/Assumptions!B62,0)</f>
        <v>3</v>
      </c>
      <c r="C5" s="44" t="n">
        <f aca="false">ROUND(1000/Assumptions!B62,0)</f>
        <v>25</v>
      </c>
      <c r="D5" s="44" t="n">
        <f aca="false">ROUND(10000/Assumptions!B62,0)</f>
        <v>250</v>
      </c>
      <c r="E5" s="44" t="n">
        <f aca="false">ROUND(30000/Assumptions!B62,0)</f>
        <v>750</v>
      </c>
    </row>
    <row r="6" customFormat="false" ht="15" hidden="false" customHeight="false" outlineLevel="0" collapsed="false">
      <c r="A6" s="23" t="s">
        <v>247</v>
      </c>
      <c r="B6" s="44" t="n">
        <f aca="false">ROUND(100*(IF(Assumptions!$B$82=1,Assumptions!B102,Assumptions!B5)),0)</f>
        <v>70</v>
      </c>
      <c r="C6" s="44" t="n">
        <f aca="false">ROUND(1000*(IF(Assumptions!$B$82=1,Assumptions!B102,Assumptions!B5)),0)</f>
        <v>700</v>
      </c>
      <c r="D6" s="44" t="n">
        <f aca="false">ROUND(10000*(IF(Assumptions!$B$82=1,Assumptions!B102,Assumptions!B5)),0)</f>
        <v>7000</v>
      </c>
      <c r="E6" s="44" t="n">
        <f aca="false">ROUND(30000*(IF(Assumptions!$B$82=1,Assumptions!B102,Assumptions!B5)),0)</f>
        <v>21000</v>
      </c>
    </row>
    <row r="7" customFormat="false" ht="15" hidden="false" customHeight="false" outlineLevel="0" collapsed="false">
      <c r="A7" s="23" t="s">
        <v>248</v>
      </c>
      <c r="B7" s="44" t="n">
        <f aca="false">ROUND(100*(IF(Assumptions!$B$82=1,Assumptions!B103,Assumptions!B6)),0)</f>
        <v>25</v>
      </c>
      <c r="C7" s="44" t="n">
        <f aca="false">ROUND(1000*(IF(Assumptions!$B$82=1,Assumptions!B103,Assumptions!B6)),0)</f>
        <v>250</v>
      </c>
      <c r="D7" s="44" t="n">
        <f aca="false">ROUND(10000*(IF(Assumptions!$B$82=1,Assumptions!B103,Assumptions!B6)),0)</f>
        <v>2500</v>
      </c>
      <c r="E7" s="44" t="n">
        <f aca="false">ROUND(30000*(IF(Assumptions!$B$82=1,Assumptions!B103,Assumptions!B6)),0)</f>
        <v>7500</v>
      </c>
    </row>
    <row r="8" customFormat="false" ht="15" hidden="false" customHeight="false" outlineLevel="0" collapsed="false">
      <c r="A8" s="23" t="s">
        <v>249</v>
      </c>
      <c r="B8" s="44" t="n">
        <f aca="false">ROUND(100*(Assumptions!B7),0)</f>
        <v>5</v>
      </c>
      <c r="C8" s="44" t="n">
        <f aca="false">ROUND(1000*(Assumptions!B7),0)</f>
        <v>50</v>
      </c>
      <c r="D8" s="44" t="n">
        <f aca="false">ROUND(10000*(Assumptions!B7),0)</f>
        <v>500</v>
      </c>
      <c r="E8" s="44" t="n">
        <f aca="false">ROUND(30000*(Assumptions!B7),0)</f>
        <v>1500</v>
      </c>
    </row>
    <row r="9" customFormat="false" ht="15" hidden="false" customHeight="false" outlineLevel="0" collapsed="false">
      <c r="A9" s="43" t="s">
        <v>250</v>
      </c>
      <c r="B9" s="44" t="n">
        <f aca="false">ROUND(100*(IF(Assumptions!$B$82=1,Assumptions!B102,Assumptions!B5))*(IF(Assumptions!$B$78=1,Assumptions!E11,Assumptions!B11)),0)</f>
        <v>21</v>
      </c>
      <c r="C9" s="44" t="n">
        <f aca="false">ROUND(1000*(IF(Assumptions!$B$82=1,Assumptions!B102,Assumptions!B5))*(IF(Assumptions!$B$78=1,Assumptions!E11,Assumptions!B11)),0)</f>
        <v>210</v>
      </c>
      <c r="D9" s="44" t="n">
        <f aca="false">ROUND(10000*(IF(Assumptions!$B$82=1,Assumptions!B102,Assumptions!B5))*(IF(Assumptions!$B$78=1,Assumptions!E11,Assumptions!B11)),0)</f>
        <v>2100</v>
      </c>
      <c r="E9" s="44" t="n">
        <f aca="false">ROUND(30000*(IF(Assumptions!$B$82=1,Assumptions!B102,Assumptions!B5))*(IF(Assumptions!$B$78=1,Assumptions!E11,Assumptions!B11)),0)</f>
        <v>6300</v>
      </c>
    </row>
    <row r="10" customFormat="false" ht="15" hidden="false" customHeight="false" outlineLevel="0" collapsed="false">
      <c r="A10" s="43" t="s">
        <v>251</v>
      </c>
      <c r="B10" s="44" t="n">
        <f aca="false">ROUND(100*(IF(Assumptions!$B$82=1,Assumptions!B103,Assumptions!B6))*(IF(Assumptions!$B$82=1,MAX(IF(Assumptions!$B$78=1,Assumptions!E12,Assumptions!B12),Assumptions!B104),IF(Assumptions!$B$78=1,Assumptions!E12,Assumptions!B12))),0)</f>
        <v>18</v>
      </c>
      <c r="C10" s="44" t="n">
        <f aca="false">ROUND(1000*(IF(Assumptions!$B$82=1,Assumptions!B103,Assumptions!B6))*(IF(Assumptions!$B$82=1,MAX(IF(Assumptions!$B$78=1,Assumptions!E12,Assumptions!B12),Assumptions!B104),IF(Assumptions!$B$78=1,Assumptions!E12,Assumptions!B12))),0)</f>
        <v>175</v>
      </c>
      <c r="D10" s="44" t="n">
        <f aca="false">ROUND(10000*(IF(Assumptions!$B$82=1,Assumptions!B103,Assumptions!B6))*(IF(Assumptions!$B$82=1,MAX(IF(Assumptions!$B$78=1,Assumptions!E12,Assumptions!B12),Assumptions!B104),IF(Assumptions!$B$78=1,Assumptions!E12,Assumptions!B12))),0)</f>
        <v>1750</v>
      </c>
      <c r="E10" s="44" t="n">
        <f aca="false">ROUND(30000*(IF(Assumptions!$B$82=1,Assumptions!B103,Assumptions!B6))*(IF(Assumptions!$B$82=1,MAX(IF(Assumptions!$B$78=1,Assumptions!E12,Assumptions!B12),Assumptions!B104),IF(Assumptions!$B$78=1,Assumptions!E12,Assumptions!B12))),0)</f>
        <v>5250</v>
      </c>
    </row>
    <row r="11" customFormat="false" ht="15" hidden="false" customHeight="false" outlineLevel="0" collapsed="false">
      <c r="A11" s="43" t="s">
        <v>252</v>
      </c>
      <c r="B11" s="44" t="n">
        <f aca="false">ROUND(100*(Assumptions!B7)*(IF(Assumptions!$B$78=1,Assumptions!E13,Assumptions!B13)),0)</f>
        <v>5</v>
      </c>
      <c r="C11" s="44" t="n">
        <f aca="false">ROUND(1000*(Assumptions!B7)*(IF(Assumptions!$B$78=1,Assumptions!E13,Assumptions!B13)),0)</f>
        <v>45</v>
      </c>
      <c r="D11" s="44" t="n">
        <f aca="false">ROUND(10000*(Assumptions!B7)*(IF(Assumptions!$B$78=1,Assumptions!E13,Assumptions!B13)),0)</f>
        <v>450</v>
      </c>
      <c r="E11" s="44" t="n">
        <f aca="false">ROUND(30000*(Assumptions!B7)*(IF(Assumptions!$B$78=1,Assumptions!E13,Assumptions!B13)),0)</f>
        <v>1350</v>
      </c>
    </row>
    <row r="12" customFormat="false" ht="15" hidden="false" customHeight="false" outlineLevel="0" collapsed="false">
      <c r="A12" s="43" t="s">
        <v>253</v>
      </c>
      <c r="B12" s="45" t="n">
        <f aca="false">ROUND(100*(IF(Assumptions!$B$82=1,Assumptions!B103,Assumptions!B6))*IF(Assumptions!$B$84=1,79,49)+100*(Assumptions!B7)*IF(Assumptions!$B$84=1,249,199),0)</f>
        <v>2220</v>
      </c>
      <c r="C12" s="45" t="n">
        <f aca="false">ROUND(1000*(IF(Assumptions!$B$82=1,Assumptions!B103,Assumptions!B6))*IF(Assumptions!$B$84=1,79,49)+1000*(Assumptions!B7)*IF(Assumptions!$B$84=1,249,199),0)</f>
        <v>22200</v>
      </c>
      <c r="D12" s="45" t="n">
        <f aca="false">ROUND(10000*(IF(Assumptions!$B$82=1,Assumptions!B103,Assumptions!B6))*IF(Assumptions!$B$84=1,79,49)+10000*(Assumptions!B7)*IF(Assumptions!$B$84=1,249,199),0)</f>
        <v>222000</v>
      </c>
      <c r="E12" s="45" t="n">
        <f aca="false">ROUND(30000*(IF(Assumptions!$B$82=1,Assumptions!B103,Assumptions!B6))*IF(Assumptions!$B$84=1,79,49)+30000*(Assumptions!B7)*IF(Assumptions!$B$84=1,249,199),0)</f>
        <v>666000</v>
      </c>
    </row>
    <row r="14" customFormat="false" ht="15" hidden="false" customHeight="false" outlineLevel="0" collapsed="false">
      <c r="A14" s="23" t="s">
        <v>254</v>
      </c>
      <c r="B14" s="44" t="n">
        <f aca="false">ROUND(((100*(IF(Assumptions!$B$82=1,Assumptions!B102,Assumptions!B5))*(IF(Assumptions!$B$78=1,Assumptions!E11,Assumptions!B11)))*IF(Assumptions!$B$78=1,Assumptions!E16,Assumptions!B16)*(1-0.05)+(100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*(Assumptions!B7)*(IF(Assumptions!$B$78=1,Assumptions!E13,Assumptions!B13)))*IF(Assumptions!$B$78=1,Assumptions!E18,Assumptions!B18)*(1-0.6)),0)</f>
        <v>1800</v>
      </c>
      <c r="C14" s="44" t="n">
        <f aca="false">ROUND(((1000*(IF(Assumptions!$B$82=1,Assumptions!B102,Assumptions!B5))*(IF(Assumptions!$B$78=1,Assumptions!E11,Assumptions!B11)))*IF(Assumptions!$B$78=1,Assumptions!E16,Assumptions!B16)*(1-0.05)+(1000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(1000*(Assumptions!B7)*(IF(Assumptions!$B$78=1,Assumptions!E13,Assumptions!B13)))*IF(Assumptions!$B$78=1,Assumptions!E18,Assumptions!B18)*(1-0.6)),0)</f>
        <v>17998</v>
      </c>
      <c r="D14" s="44" t="n">
        <f aca="false">ROUND(((10000*(IF(Assumptions!$B$82=1,Assumptions!B102,Assumptions!B5))*(IF(Assumptions!$B$78=1,Assumptions!E11,Assumptions!B11)))*IF(Assumptions!$B$78=1,Assumptions!E16,Assumptions!B16)*(1-0.05)+(10000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(10000*(Assumptions!B7)*(IF(Assumptions!$B$78=1,Assumptions!E13,Assumptions!B13)))*IF(Assumptions!$B$78=1,Assumptions!E18,Assumptions!B18)*(1-0.6)),0)</f>
        <v>179975</v>
      </c>
      <c r="E14" s="44" t="n">
        <f aca="false">ROUND(((30000*(IF(Assumptions!$B$82=1,Assumptions!B102,Assumptions!B5))*(IF(Assumptions!$B$78=1,Assumptions!E11,Assumptions!B11)))*IF(Assumptions!$B$78=1,Assumptions!E16,Assumptions!B16)*(1-0.05)+(30000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(30000*(Assumptions!B7)*(IF(Assumptions!$B$78=1,Assumptions!E13,Assumptions!B13)))*IF(Assumptions!$B$78=1,Assumptions!E18,Assumptions!B18)*(1-0.6)),0)</f>
        <v>539925</v>
      </c>
    </row>
    <row r="15" customFormat="false" ht="15" hidden="false" customHeight="false" outlineLevel="0" collapsed="false">
      <c r="A15" s="23" t="s">
        <v>255</v>
      </c>
      <c r="B15" s="45" t="n">
        <f aca="false">ROUND((((100*(IF(Assumptions!$B$82=1,Assumptions!B102,Assumptions!B5))*(IF(Assumptions!$B$78=1,Assumptions!E11,Assumptions!B11)))*IF(Assumptions!$B$78=1,Assumptions!E16,Assumptions!B16)*(1-0.05)+(100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*(Assumptions!B7)*(IF(Assumptions!$B$78=1,Assumptions!E13,Assumptions!B13)))*IF(Assumptions!$B$78=1,Assumptions!E18,Assumptions!B18)*(1-0.6)))*Assumptions!B48,0)</f>
        <v>53993</v>
      </c>
      <c r="C15" s="45" t="n">
        <f aca="false">ROUND((((1000*(IF(Assumptions!$B$82=1,Assumptions!B102,Assumptions!B5))*(IF(Assumptions!$B$78=1,Assumptions!E11,Assumptions!B11)))*IF(Assumptions!$B$78=1,Assumptions!E16,Assumptions!B16)*(1-0.05)+(1000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(1000*(Assumptions!B7)*(IF(Assumptions!$B$78=1,Assumptions!E13,Assumptions!B13)))*IF(Assumptions!$B$78=1,Assumptions!E18,Assumptions!B18)*(1-0.6)))*Assumptions!B48,0)</f>
        <v>539925</v>
      </c>
      <c r="D15" s="45" t="n">
        <f aca="false">ROUND((((10000*(IF(Assumptions!$B$82=1,Assumptions!B102,Assumptions!B5))*(IF(Assumptions!$B$78=1,Assumptions!E11,Assumptions!B11)))*IF(Assumptions!$B$78=1,Assumptions!E16,Assumptions!B16)*(1-0.05)+(10000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(10000*(Assumptions!B7)*(IF(Assumptions!$B$78=1,Assumptions!E13,Assumptions!B13)))*IF(Assumptions!$B$78=1,Assumptions!E18,Assumptions!B18)*(1-0.6)))*Assumptions!B48,0)</f>
        <v>5399250</v>
      </c>
      <c r="E15" s="45" t="n">
        <f aca="false">ROUND((((30000*(IF(Assumptions!$B$82=1,Assumptions!B102,Assumptions!B5))*(IF(Assumptions!$B$78=1,Assumptions!E11,Assumptions!B11)))*IF(Assumptions!$B$78=1,Assumptions!E16,Assumptions!B16)*(1-0.05)+(30000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(30000*(Assumptions!B7)*(IF(Assumptions!$B$78=1,Assumptions!E13,Assumptions!B13)))*IF(Assumptions!$B$78=1,Assumptions!E18,Assumptions!B18)*(1-0.6)))*Assumptions!B48,0)</f>
        <v>16197750</v>
      </c>
    </row>
    <row r="16" customFormat="false" ht="15" hidden="false" customHeight="false" outlineLevel="0" collapsed="false">
      <c r="A16" s="23" t="s">
        <v>256</v>
      </c>
      <c r="B16" s="45" t="n">
        <f aca="false">ROUND(((100*(IF(Assumptions!$B$82=1,Assumptions!B102,Assumptions!B5))*(IF(Assumptions!$B$78=1,Assumptions!E11,Assumptions!B11)))*IF(Assumptions!$B$78=1,Assumptions!E16,Assumptions!B16)*(1-0.05))*Assumptions!B48*SUMPRODUCT((Assumptions!C32:C36+Assumptions!B79/100),IF(Assumptions!$B$78=1,Assumptions!F40:F44,Assumptions!B40:B44))+((100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)*Assumptions!B48*SUMPRODUCT((Assumptions!D32:D36+Assumptions!B79/100),IF(Assumptions!$B$78=1,Assumptions!G40:G44,Assumptions!C40:C44))+((100*(Assumptions!B7)*(IF(Assumptions!$B$78=1,Assumptions!E13,Assumptions!B13)))*IF(Assumptions!$B$78=1,Assumptions!E18,Assumptions!B18)*(1-0.6))*Assumptions!B48*SUMPRODUCT((Assumptions!E32:E36+Assumptions!B79/100),IF(Assumptions!$B$78=1,Assumptions!H40:H44,Assumptions!D40:D44)),0)</f>
        <v>4340</v>
      </c>
      <c r="C16" s="45" t="n">
        <f aca="false">ROUND(((1000*(IF(Assumptions!$B$82=1,Assumptions!B102,Assumptions!B5))*(IF(Assumptions!$B$78=1,Assumptions!E11,Assumptions!B11)))*IF(Assumptions!$B$78=1,Assumptions!E16,Assumptions!B16)*(1-0.05))*Assumptions!B48*SUMPRODUCT((Assumptions!C32:C36+Assumptions!B79/100),IF(Assumptions!$B$78=1,Assumptions!F40:F44,Assumptions!B40:B44))+((1000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)*Assumptions!B48*SUMPRODUCT((Assumptions!D32:D36+Assumptions!B79/100),IF(Assumptions!$B$78=1,Assumptions!G40:G44,Assumptions!C40:C44))+((1000*(Assumptions!B7)*(IF(Assumptions!$B$78=1,Assumptions!E13,Assumptions!B13)))*IF(Assumptions!$B$78=1,Assumptions!E18,Assumptions!B18)*(1-0.6))*Assumptions!B48*SUMPRODUCT((Assumptions!E32:E36+Assumptions!B79/100),IF(Assumptions!$B$78=1,Assumptions!H40:H44,Assumptions!D40:D44)),0)</f>
        <v>43400</v>
      </c>
      <c r="D16" s="45" t="n">
        <f aca="false">ROUND(((10000*(IF(Assumptions!$B$82=1,Assumptions!B102,Assumptions!B5))*(IF(Assumptions!$B$78=1,Assumptions!E11,Assumptions!B11)))*IF(Assumptions!$B$78=1,Assumptions!E16,Assumptions!B16)*(1-0.05))*Assumptions!B48*SUMPRODUCT((Assumptions!C32:C36+Assumptions!B79/100),IF(Assumptions!$B$78=1,Assumptions!F40:F44,Assumptions!B40:B44))+((10000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)*Assumptions!B48*SUMPRODUCT((Assumptions!D32:D36+Assumptions!B79/100),IF(Assumptions!$B$78=1,Assumptions!G40:G44,Assumptions!C40:C44))+((10000*(Assumptions!B7)*(IF(Assumptions!$B$78=1,Assumptions!E13,Assumptions!B13)))*IF(Assumptions!$B$78=1,Assumptions!E18,Assumptions!B18)*(1-0.6))*Assumptions!B48*SUMPRODUCT((Assumptions!E32:E36+Assumptions!B79/100),IF(Assumptions!$B$78=1,Assumptions!H40:H44,Assumptions!D40:D44)),0)</f>
        <v>434004</v>
      </c>
      <c r="E16" s="45" t="n">
        <f aca="false">ROUND(((30000*(IF(Assumptions!$B$82=1,Assumptions!B102,Assumptions!B5))*(IF(Assumptions!$B$78=1,Assumptions!E11,Assumptions!B11)))*IF(Assumptions!$B$78=1,Assumptions!E16,Assumptions!B16)*(1-0.05))*Assumptions!B48*SUMPRODUCT((Assumptions!C32:C36+Assumptions!B79/100),IF(Assumptions!$B$78=1,Assumptions!F40:F44,Assumptions!B40:B44))+((30000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)*Assumptions!B48*SUMPRODUCT((Assumptions!D32:D36+Assumptions!B79/100),IF(Assumptions!$B$78=1,Assumptions!G40:G44,Assumptions!C40:C44))+((30000*(Assumptions!B7)*(IF(Assumptions!$B$78=1,Assumptions!E13,Assumptions!B13)))*IF(Assumptions!$B$78=1,Assumptions!E18,Assumptions!B18)*(1-0.6))*Assumptions!B48*SUMPRODUCT((Assumptions!E32:E36+Assumptions!B79/100),IF(Assumptions!$B$78=1,Assumptions!H40:H44,Assumptions!D40:D44)),0)</f>
        <v>1302013</v>
      </c>
    </row>
    <row r="17" customFormat="false" ht="15" hidden="false" customHeight="false" outlineLevel="0" collapsed="false">
      <c r="A17" s="23" t="s">
        <v>257</v>
      </c>
      <c r="B17" s="45" t="n">
        <f aca="false">ROUND((((100*(IF(Assumptions!$B$82=1,Assumptions!B102,Assumptions!B5))*(IF(Assumptions!$B$78=1,Assumptions!E11,Assumptions!B11)))*IF(Assumptions!$B$78=1,Assumptions!E16,Assumptions!B16)*(1-0.05)+(100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*(Assumptions!B7)*(IF(Assumptions!$B$78=1,Assumptions!E13,Assumptions!B13)))*IF(Assumptions!$B$78=1,Assumptions!E18,Assumptions!B18)*(1-0.6)))*Assumptions!B49*(Assumptions!B55*Assumptions!B58+Assumptions!B56*Assumptions!B59+Assumptions!B57*Assumptions!B60),0)</f>
        <v>644</v>
      </c>
      <c r="C17" s="45" t="n">
        <f aca="false">ROUND((((1000*(IF(Assumptions!$B$82=1,Assumptions!B102,Assumptions!B5))*(IF(Assumptions!$B$78=1,Assumptions!E11,Assumptions!B11)))*IF(Assumptions!$B$78=1,Assumptions!E16,Assumptions!B16)*(1-0.05)+(1000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(1000*(Assumptions!B7)*(IF(Assumptions!$B$78=1,Assumptions!E13,Assumptions!B13)))*IF(Assumptions!$B$78=1,Assumptions!E18,Assumptions!B18)*(1-0.6)))*Assumptions!B49*(Assumptions!B55*Assumptions!B58+Assumptions!B56*Assumptions!B59+Assumptions!B57*Assumptions!B60),0)</f>
        <v>6443</v>
      </c>
      <c r="D17" s="45" t="n">
        <f aca="false">ROUND((((10000*(IF(Assumptions!$B$82=1,Assumptions!B102,Assumptions!B5))*(IF(Assumptions!$B$78=1,Assumptions!E11,Assumptions!B11)))*IF(Assumptions!$B$78=1,Assumptions!E16,Assumptions!B16)*(1-0.05)+(10000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(10000*(Assumptions!B7)*(IF(Assumptions!$B$78=1,Assumptions!E13,Assumptions!B13)))*IF(Assumptions!$B$78=1,Assumptions!E18,Assumptions!B18)*(1-0.6)))*Assumptions!B49*(Assumptions!B55*Assumptions!B58+Assumptions!B56*Assumptions!B59+Assumptions!B57*Assumptions!B60),0)</f>
        <v>64431</v>
      </c>
      <c r="E17" s="45" t="n">
        <f aca="false">ROUND((((30000*(IF(Assumptions!$B$82=1,Assumptions!B102,Assumptions!B5))*(IF(Assumptions!$B$78=1,Assumptions!E11,Assumptions!B11)))*IF(Assumptions!$B$78=1,Assumptions!E16,Assumptions!B16)*(1-0.05)+(30000*(IF(Assumptions!$B$82=1,Assumptions!B103,Assumptions!B6))*(IF(Assumptions!$B$82=1,MAX(IF(Assumptions!$B$78=1,Assumptions!E12,Assumptions!B12),Assumptions!B104),IF(Assumptions!$B$78=1,Assumptions!E12,Assumptions!B12))))*IF(Assumptions!$B$78=1,Assumptions!E17,Assumptions!B17)*(1-0.3)+(30000*(Assumptions!B7)*(IF(Assumptions!$B$78=1,Assumptions!E13,Assumptions!B13)))*IF(Assumptions!$B$78=1,Assumptions!E18,Assumptions!B18)*(1-0.6)))*Assumptions!B49*(Assumptions!B55*Assumptions!B58+Assumptions!B56*Assumptions!B59+Assumptions!B57*Assumptions!B60),0)</f>
        <v>193293</v>
      </c>
    </row>
    <row r="19" customFormat="false" ht="15" hidden="false" customHeight="false" outlineLevel="0" collapsed="false">
      <c r="A19" s="23" t="s">
        <v>258</v>
      </c>
      <c r="B19" s="44" t="n">
        <f aca="false">ROUND(((100*(IF(Assumptions!$B$82=1,Assumptions!B102,Assumptions!B5))*(IF(Assumptions!$B$78=1,Assumptions!E11,Assumptions!B11)))*IF(Assumptions!$B$78=1,Assumptions!G21,Assumptions!B21)*Assumptions!D21+(100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*(Assumptions!B7)*(IF(Assumptions!$B$78=1,Assumptions!E13,Assumptions!B13)))*IF(Assumptions!$B$78=1,Assumptions!G23,Assumptions!B23)*Assumptions!D23),0)</f>
        <v>34420</v>
      </c>
      <c r="C19" s="44" t="n">
        <f aca="false">ROUND(((1000*(IF(Assumptions!$B$82=1,Assumptions!B102,Assumptions!B5))*(IF(Assumptions!$B$78=1,Assumptions!E11,Assumptions!B11)))*IF(Assumptions!$B$78=1,Assumptions!G21,Assumptions!B21)*Assumptions!D21+(1000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(1000*(Assumptions!B7)*(IF(Assumptions!$B$78=1,Assumptions!E13,Assumptions!B13)))*IF(Assumptions!$B$78=1,Assumptions!G23,Assumptions!B23)*Assumptions!D23),0)</f>
        <v>344200</v>
      </c>
      <c r="D19" s="44" t="n">
        <f aca="false">ROUND(((10000*(IF(Assumptions!$B$82=1,Assumptions!B102,Assumptions!B5))*(IF(Assumptions!$B$78=1,Assumptions!E11,Assumptions!B11)))*IF(Assumptions!$B$78=1,Assumptions!G21,Assumptions!B21)*Assumptions!D21+(10000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(10000*(Assumptions!B7)*(IF(Assumptions!$B$78=1,Assumptions!E13,Assumptions!B13)))*IF(Assumptions!$B$78=1,Assumptions!G23,Assumptions!B23)*Assumptions!D23),0)</f>
        <v>3442000</v>
      </c>
      <c r="E19" s="44" t="n">
        <f aca="false">ROUND(((30000*(IF(Assumptions!$B$82=1,Assumptions!B102,Assumptions!B5))*(IF(Assumptions!$B$78=1,Assumptions!E11,Assumptions!B11)))*IF(Assumptions!$B$78=1,Assumptions!G21,Assumptions!B21)*Assumptions!D21+(30000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(30000*(Assumptions!B7)*(IF(Assumptions!$B$78=1,Assumptions!E13,Assumptions!B13)))*IF(Assumptions!$B$78=1,Assumptions!G23,Assumptions!B23)*Assumptions!D23),0)</f>
        <v>10326000</v>
      </c>
    </row>
    <row r="20" customFormat="false" ht="15" hidden="false" customHeight="false" outlineLevel="0" collapsed="false">
      <c r="A20" s="23" t="s">
        <v>259</v>
      </c>
      <c r="B20" s="45" t="n">
        <f aca="false">ROUND((((100*(IF(Assumptions!$B$82=1,Assumptions!B102,Assumptions!B5))*(IF(Assumptions!$B$78=1,Assumptions!E11,Assumptions!B11)))*IF(Assumptions!$B$78=1,Assumptions!G21,Assumptions!B21)*Assumptions!D21+(100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*(Assumptions!B7)*(IF(Assumptions!$B$78=1,Assumptions!E13,Assumptions!B13)))*IF(Assumptions!$B$78=1,Assumptions!G23,Assumptions!B23)*Assumptions!D23))*Assumptions!B51,0)</f>
        <v>154890</v>
      </c>
      <c r="C20" s="45" t="n">
        <f aca="false">ROUND((((1000*(IF(Assumptions!$B$82=1,Assumptions!B102,Assumptions!B5))*(IF(Assumptions!$B$78=1,Assumptions!E11,Assumptions!B11)))*IF(Assumptions!$B$78=1,Assumptions!G21,Assumptions!B21)*Assumptions!D21+(1000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(1000*(Assumptions!B7)*(IF(Assumptions!$B$78=1,Assumptions!E13,Assumptions!B13)))*IF(Assumptions!$B$78=1,Assumptions!G23,Assumptions!B23)*Assumptions!D23))*Assumptions!B51,0)</f>
        <v>1548900</v>
      </c>
      <c r="D20" s="45" t="n">
        <f aca="false">ROUND((((10000*(IF(Assumptions!$B$82=1,Assumptions!B102,Assumptions!B5))*(IF(Assumptions!$B$78=1,Assumptions!E11,Assumptions!B11)))*IF(Assumptions!$B$78=1,Assumptions!G21,Assumptions!B21)*Assumptions!D21+(10000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(10000*(Assumptions!B7)*(IF(Assumptions!$B$78=1,Assumptions!E13,Assumptions!B13)))*IF(Assumptions!$B$78=1,Assumptions!G23,Assumptions!B23)*Assumptions!D23))*Assumptions!B51,0)</f>
        <v>15489000</v>
      </c>
      <c r="E20" s="45" t="n">
        <f aca="false">ROUND((((30000*(IF(Assumptions!$B$82=1,Assumptions!B102,Assumptions!B5))*(IF(Assumptions!$B$78=1,Assumptions!E11,Assumptions!B11)))*IF(Assumptions!$B$78=1,Assumptions!G21,Assumptions!B21)*Assumptions!D21+(30000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(30000*(Assumptions!B7)*(IF(Assumptions!$B$78=1,Assumptions!E13,Assumptions!B13)))*IF(Assumptions!$B$78=1,Assumptions!G23,Assumptions!B23)*Assumptions!D23))*Assumptions!B51,0)</f>
        <v>46467000</v>
      </c>
    </row>
    <row r="21" customFormat="false" ht="15" hidden="false" customHeight="false" outlineLevel="0" collapsed="false">
      <c r="A21" s="23" t="s">
        <v>260</v>
      </c>
      <c r="B21" s="45" t="n">
        <f aca="false">ROUND(((100*(IF(Assumptions!$B$82=1,Assumptions!B102,Assumptions!B5))*(IF(Assumptions!$B$78=1,Assumptions!E11,Assumptions!B11)))*IF(Assumptions!$B$78=1,Assumptions!G21,Assumptions!B21)*Assumptions!D21)*Assumptions!B51*SUMPRODUCT((Assumptions!C32:C36+Assumptions!B79/100),IF(Assumptions!$B$78=1,Assumptions!F40:F44,Assumptions!B40:B44))+((100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22)*Assumptions!B51*SUMPRODUCT((Assumptions!D32:D36+Assumptions!B79/100),IF(Assumptions!$B$78=1,Assumptions!G40:G44,Assumptions!C40:C44))+((100*(Assumptions!B7)*(IF(Assumptions!$B$78=1,Assumptions!E13,Assumptions!B13)))*IF(Assumptions!$B$78=1,Assumptions!G23,Assumptions!B23)*Assumptions!D23)*Assumptions!B51*SUMPRODUCT((Assumptions!E32:E36+Assumptions!B79/100),IF(Assumptions!$B$78=1,Assumptions!H40:H44,Assumptions!D40:D44)),0)</f>
        <v>10259</v>
      </c>
      <c r="C21" s="45" t="n">
        <f aca="false">ROUND(((1000*(IF(Assumptions!$B$82=1,Assumptions!B102,Assumptions!B5))*(IF(Assumptions!$B$78=1,Assumptions!E11,Assumptions!B11)))*IF(Assumptions!$B$78=1,Assumptions!G21,Assumptions!B21)*Assumptions!D21)*Assumptions!B51*SUMPRODUCT((Assumptions!C32:C36+Assumptions!B79/100),IF(Assumptions!$B$78=1,Assumptions!F40:F44,Assumptions!B40:B44))+((1000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22)*Assumptions!B51*SUMPRODUCT((Assumptions!D32:D36+Assumptions!B79/100),IF(Assumptions!$B$78=1,Assumptions!G40:G44,Assumptions!C40:C44))+((1000*(Assumptions!B7)*(IF(Assumptions!$B$78=1,Assumptions!E13,Assumptions!B13)))*IF(Assumptions!$B$78=1,Assumptions!G23,Assumptions!B23)*Assumptions!D23)*Assumptions!B51*SUMPRODUCT((Assumptions!E32:E36+Assumptions!B79/100),IF(Assumptions!$B$78=1,Assumptions!H40:H44,Assumptions!D40:D44)),0)</f>
        <v>102588</v>
      </c>
      <c r="D21" s="45" t="n">
        <f aca="false">ROUND(((10000*(IF(Assumptions!$B$82=1,Assumptions!B102,Assumptions!B5))*(IF(Assumptions!$B$78=1,Assumptions!E11,Assumptions!B11)))*IF(Assumptions!$B$78=1,Assumptions!G21,Assumptions!B21)*Assumptions!D21)*Assumptions!B51*SUMPRODUCT((Assumptions!C32:C36+Assumptions!B79/100),IF(Assumptions!$B$78=1,Assumptions!F40:F44,Assumptions!B40:B44))+((10000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22)*Assumptions!B51*SUMPRODUCT((Assumptions!D32:D36+Assumptions!B79/100),IF(Assumptions!$B$78=1,Assumptions!G40:G44,Assumptions!C40:C44))+((10000*(Assumptions!B7)*(IF(Assumptions!$B$78=1,Assumptions!E13,Assumptions!B13)))*IF(Assumptions!$B$78=1,Assumptions!G23,Assumptions!B23)*Assumptions!D23)*Assumptions!B51*SUMPRODUCT((Assumptions!E32:E36+Assumptions!B79/100),IF(Assumptions!$B$78=1,Assumptions!H40:H44,Assumptions!D40:D44)),0)</f>
        <v>1025884</v>
      </c>
      <c r="E21" s="45" t="n">
        <f aca="false">ROUND(((30000*(IF(Assumptions!$B$82=1,Assumptions!B102,Assumptions!B5))*(IF(Assumptions!$B$78=1,Assumptions!E11,Assumptions!B11)))*IF(Assumptions!$B$78=1,Assumptions!G21,Assumptions!B21)*Assumptions!D21)*Assumptions!B51*SUMPRODUCT((Assumptions!C32:C36+Assumptions!B79/100),IF(Assumptions!$B$78=1,Assumptions!F40:F44,Assumptions!B40:B44))+((30000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22)*Assumptions!B51*SUMPRODUCT((Assumptions!D32:D36+Assumptions!B79/100),IF(Assumptions!$B$78=1,Assumptions!G40:G44,Assumptions!C40:C44))+((30000*(Assumptions!B7)*(IF(Assumptions!$B$78=1,Assumptions!E13,Assumptions!B13)))*IF(Assumptions!$B$78=1,Assumptions!G23,Assumptions!B23)*Assumptions!D23)*Assumptions!B51*SUMPRODUCT((Assumptions!E32:E36+Assumptions!B79/100),IF(Assumptions!$B$78=1,Assumptions!H40:H44,Assumptions!D40:D44)),0)</f>
        <v>3077652</v>
      </c>
    </row>
    <row r="22" customFormat="false" ht="15" hidden="false" customHeight="false" outlineLevel="0" collapsed="false">
      <c r="A22" s="23" t="s">
        <v>261</v>
      </c>
      <c r="B22" s="45" t="n">
        <f aca="false">ROUND((((100*(IF(Assumptions!$B$82=1,Assumptions!B102,Assumptions!B5))*(IF(Assumptions!$B$78=1,Assumptions!E11,Assumptions!B11)))*IF(Assumptions!$B$78=1,Assumptions!G21,Assumptions!B21)*Assumptions!D21+(100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*(Assumptions!B7)*(IF(Assumptions!$B$78=1,Assumptions!E13,Assumptions!B13)))*IF(Assumptions!$B$78=1,Assumptions!G23,Assumptions!B23)*Assumptions!D23))*Assumptions!B51*(Assumptions!B55*Assumptions!B58+Assumptions!B56*Assumptions!B59+Assumptions!B57*Assumptions!B60),0)</f>
        <v>6931</v>
      </c>
      <c r="C22" s="45" t="n">
        <f aca="false">ROUND((((1000*(IF(Assumptions!$B$82=1,Assumptions!B102,Assumptions!B5))*(IF(Assumptions!$B$78=1,Assumptions!E11,Assumptions!B11)))*IF(Assumptions!$B$78=1,Assumptions!G21,Assumptions!B21)*Assumptions!D21+(1000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(1000*(Assumptions!B7)*(IF(Assumptions!$B$78=1,Assumptions!E13,Assumptions!B13)))*IF(Assumptions!$B$78=1,Assumptions!G23,Assumptions!B23)*Assumptions!D23))*Assumptions!B51*(Assumptions!B55*Assumptions!B58+Assumptions!B56*Assumptions!B59+Assumptions!B57*Assumptions!B60),0)</f>
        <v>69313</v>
      </c>
      <c r="D22" s="45" t="n">
        <f aca="false">ROUND((((10000*(IF(Assumptions!$B$82=1,Assumptions!B102,Assumptions!B5))*(IF(Assumptions!$B$78=1,Assumptions!E11,Assumptions!B11)))*IF(Assumptions!$B$78=1,Assumptions!G21,Assumptions!B21)*Assumptions!D21+(10000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(10000*(Assumptions!B7)*(IF(Assumptions!$B$78=1,Assumptions!E13,Assumptions!B13)))*IF(Assumptions!$B$78=1,Assumptions!G23,Assumptions!B23)*Assumptions!D23))*Assumptions!B51*(Assumptions!B55*Assumptions!B58+Assumptions!B56*Assumptions!B59+Assumptions!B57*Assumptions!B60),0)</f>
        <v>693133</v>
      </c>
      <c r="E22" s="45" t="n">
        <f aca="false">ROUND((((30000*(IF(Assumptions!$B$82=1,Assumptions!B102,Assumptions!B5))*(IF(Assumptions!$B$78=1,Assumptions!E11,Assumptions!B11)))*IF(Assumptions!$B$78=1,Assumptions!G21,Assumptions!B21)*Assumptions!D21+(30000*(IF(Assumptions!$B$82=1,Assumptions!B103,Assumptions!B6))*(IF(Assumptions!$B$82=1,MAX(IF(Assumptions!$B$78=1,Assumptions!E12,Assumptions!B12),Assumptions!B104),IF(Assumptions!$B$78=1,Assumptions!E12,Assumptions!B12))))*IF(Assumptions!$B$78=1,Assumptions!G22,Assumptions!B22)*Assumptions!D22+(30000*(Assumptions!B7)*(IF(Assumptions!$B$78=1,Assumptions!E13,Assumptions!B13)))*IF(Assumptions!$B$78=1,Assumptions!G23,Assumptions!B23)*Assumptions!D23))*Assumptions!B51*(Assumptions!B55*Assumptions!B58+Assumptions!B56*Assumptions!B59+Assumptions!B57*Assumptions!B60),0)</f>
        <v>2079398</v>
      </c>
    </row>
    <row r="24" customFormat="false" ht="15" hidden="false" customHeight="false" outlineLevel="0" collapsed="false">
      <c r="A24" s="46" t="s">
        <v>262</v>
      </c>
      <c r="B24" s="47" t="n">
        <f aca="false">B12+B16+B17+B21+B22</f>
        <v>24394</v>
      </c>
      <c r="C24" s="47" t="n">
        <f aca="false">C12+C16+C17+C21+C22</f>
        <v>243944</v>
      </c>
      <c r="D24" s="47" t="n">
        <f aca="false">D12+D16+D17+D21+D22</f>
        <v>2439452</v>
      </c>
      <c r="E24" s="47" t="n">
        <f aca="false">E12+E16+E17+E21+E22</f>
        <v>7318356</v>
      </c>
    </row>
    <row r="26" customFormat="false" ht="15" hidden="false" customHeight="false" outlineLevel="0" collapsed="false">
      <c r="A26" s="23" t="s">
        <v>263</v>
      </c>
      <c r="B26" s="45" t="n">
        <f aca="false">IF(Assumptions!$B$83=1,(B15+B20)*Assumptions!B93*(Assumptions!B92/365),0)</f>
        <v>0</v>
      </c>
      <c r="C26" s="45" t="n">
        <f aca="false">IF(Assumptions!$B$83=1,(C15+C20)*Assumptions!B93*(Assumptions!B92/365),0)</f>
        <v>0</v>
      </c>
      <c r="D26" s="45" t="n">
        <f aca="false">IF(Assumptions!$B$83=1,(D15+D20)*Assumptions!B93*(Assumptions!B92/365),0)</f>
        <v>0</v>
      </c>
      <c r="E26" s="45" t="n">
        <f aca="false">IF(Assumptions!$B$83=1,(E15+E20)*Assumptions!B93*(Assumptions!B92/365),0)</f>
        <v>0</v>
      </c>
    </row>
    <row r="27" customFormat="false" ht="15" hidden="false" customHeight="false" outlineLevel="0" collapsed="false">
      <c r="A27" s="23" t="s">
        <v>264</v>
      </c>
      <c r="B27" s="48" t="n">
        <f aca="false">-IF(Assumptions!$B$86=1,B24*Assumptions!B94*Assumptions!B95,0)</f>
        <v>-0</v>
      </c>
      <c r="C27" s="48" t="n">
        <f aca="false">-IF(Assumptions!$B$86=1,C24*Assumptions!B94*Assumptions!B95,0)</f>
        <v>-0</v>
      </c>
      <c r="D27" s="48" t="n">
        <f aca="false">-IF(Assumptions!$B$86=1,D24*Assumptions!B94*Assumptions!B95,0)</f>
        <v>-0</v>
      </c>
      <c r="E27" s="48" t="n">
        <f aca="false">-IF(Assumptions!$B$86=1,E24*Assumptions!B94*Assumptions!B95,0)</f>
        <v>-0</v>
      </c>
    </row>
    <row r="28" customFormat="false" ht="15" hidden="false" customHeight="false" outlineLevel="0" collapsed="false">
      <c r="A28" s="23" t="s">
        <v>265</v>
      </c>
      <c r="B28" s="45" t="n">
        <f aca="false">IF(Assumptions!$B$87=1,(B10+B11)*Assumptions!B96*Assumptions!B97*(Assumptions!B98-Assumptions!B99),0)</f>
        <v>0</v>
      </c>
      <c r="C28" s="45" t="n">
        <f aca="false">IF(Assumptions!$B$87=1,(C10+C11)*Assumptions!B96*Assumptions!B97*(Assumptions!B98-Assumptions!B99),0)</f>
        <v>0</v>
      </c>
      <c r="D28" s="45" t="n">
        <f aca="false">IF(Assumptions!$B$87=1,(D10+D11)*Assumptions!B96*Assumptions!B97*(Assumptions!B98-Assumptions!B99),0)</f>
        <v>0</v>
      </c>
      <c r="E28" s="45" t="n">
        <f aca="false">IF(Assumptions!$B$87=1,(E10+E11)*Assumptions!B96*Assumptions!B97*(Assumptions!B98-Assumptions!B99),0)</f>
        <v>0</v>
      </c>
    </row>
    <row r="29" customFormat="false" ht="15" hidden="false" customHeight="false" outlineLevel="0" collapsed="false">
      <c r="A29" s="23" t="s">
        <v>266</v>
      </c>
      <c r="B29" s="45" t="n">
        <f aca="false">IF(Assumptions!$B$88=1,B20*Assumptions!B100*Assumptions!B101,0)</f>
        <v>0</v>
      </c>
      <c r="C29" s="45" t="n">
        <f aca="false">IF(Assumptions!$B$88=1,C20*Assumptions!B100*Assumptions!B101,0)</f>
        <v>0</v>
      </c>
      <c r="D29" s="45" t="n">
        <f aca="false">IF(Assumptions!$B$88=1,D20*Assumptions!B100*Assumptions!B101,0)</f>
        <v>0</v>
      </c>
      <c r="E29" s="45" t="n">
        <f aca="false">IF(Assumptions!$B$88=1,E20*Assumptions!B100*Assumptions!B101,0)</f>
        <v>0</v>
      </c>
    </row>
    <row r="31" customFormat="false" ht="15" hidden="false" customHeight="false" outlineLevel="0" collapsed="false">
      <c r="A31" s="25" t="s">
        <v>267</v>
      </c>
      <c r="B31" s="49" t="n">
        <f aca="false">B24+B26+B27+B28+B29</f>
        <v>24394</v>
      </c>
      <c r="C31" s="49" t="n">
        <f aca="false">C24+C26+C27+C28+C29</f>
        <v>243944</v>
      </c>
      <c r="D31" s="49" t="n">
        <f aca="false">D24+D26+D27+D28+D29</f>
        <v>2439452</v>
      </c>
      <c r="E31" s="49" t="n">
        <f aca="false">E24+E26+E27+E28+E29</f>
        <v>7318356</v>
      </c>
    </row>
    <row r="33" customFormat="false" ht="15" hidden="false" customHeight="false" outlineLevel="0" collapsed="false">
      <c r="A33" s="23" t="s">
        <v>268</v>
      </c>
      <c r="B33" s="45" t="n">
        <f aca="false">ROUND((B14+B19/500)*Assumptions!B66+(B15+B20)*Assumptions!B65,0)</f>
        <v>989</v>
      </c>
      <c r="C33" s="45" t="n">
        <f aca="false">ROUND((C14+C19/500)*Assumptions!B66+(C15+C20)*Assumptions!B65,0)</f>
        <v>9894</v>
      </c>
      <c r="D33" s="45" t="n">
        <f aca="false">ROUND((D14+D19/500)*Assumptions!B66+(D15+D20)*Assumptions!B65,0)</f>
        <v>98935</v>
      </c>
      <c r="E33" s="45" t="n">
        <f aca="false">ROUND((E14+E19/500)*Assumptions!B66+(E15+E20)*Assumptions!B65,0)</f>
        <v>296806</v>
      </c>
    </row>
    <row r="34" customFormat="false" ht="15" hidden="false" customHeight="false" outlineLevel="0" collapsed="false">
      <c r="A34" s="23" t="s">
        <v>269</v>
      </c>
      <c r="B34" s="45" t="n">
        <f aca="false">ROUND(B10*Assumptions!B68*Assumptions!B67+B11*Assumptions!B69*Assumptions!B67,0)</f>
        <v>570</v>
      </c>
      <c r="C34" s="45" t="n">
        <f aca="false">ROUND(C10*Assumptions!B68*Assumptions!B67+C11*Assumptions!B69*Assumptions!B67,0)</f>
        <v>5325</v>
      </c>
      <c r="D34" s="45" t="n">
        <f aca="false">ROUND(D10*Assumptions!B68*Assumptions!B67+D11*Assumptions!B69*Assumptions!B67,0)</f>
        <v>53250</v>
      </c>
      <c r="E34" s="45" t="n">
        <f aca="false">ROUND(E10*Assumptions!B68*Assumptions!B67+E11*Assumptions!B69*Assumptions!B67,0)</f>
        <v>159750</v>
      </c>
    </row>
    <row r="35" customFormat="false" ht="15" hidden="false" customHeight="false" outlineLevel="0" collapsed="false">
      <c r="A35" s="23" t="s">
        <v>270</v>
      </c>
      <c r="B35" s="45" t="n">
        <f aca="false">Assumptions!B70</f>
        <v>300</v>
      </c>
      <c r="C35" s="45" t="n">
        <f aca="false">Assumptions!B70</f>
        <v>300</v>
      </c>
      <c r="D35" s="45" t="n">
        <f aca="false">Assumptions!B70</f>
        <v>300</v>
      </c>
      <c r="E35" s="45" t="n">
        <f aca="false">Assumptions!B70</f>
        <v>300</v>
      </c>
    </row>
    <row r="36" customFormat="false" ht="15" hidden="false" customHeight="false" outlineLevel="0" collapsed="false">
      <c r="A36" s="23" t="s">
        <v>271</v>
      </c>
      <c r="B36" s="45" t="n">
        <f aca="false">Assumptions!B71/12</f>
        <v>2083.33333333333</v>
      </c>
      <c r="C36" s="45" t="n">
        <f aca="false">Assumptions!B72/12</f>
        <v>6250</v>
      </c>
      <c r="D36" s="45" t="n">
        <f aca="false">Assumptions!B73/12</f>
        <v>20833.3333333333</v>
      </c>
      <c r="E36" s="45" t="n">
        <f aca="false">Assumptions!B74/12</f>
        <v>50000</v>
      </c>
    </row>
    <row r="38" customFormat="false" ht="15" hidden="false" customHeight="false" outlineLevel="0" collapsed="false">
      <c r="A38" s="25" t="s">
        <v>272</v>
      </c>
      <c r="B38" s="49" t="n">
        <f aca="false">B31-(B33+B34+B35+B36)</f>
        <v>20451.6666666667</v>
      </c>
      <c r="C38" s="49" t="n">
        <f aca="false">C31-(C33+C34+C35+C36)</f>
        <v>222175</v>
      </c>
      <c r="D38" s="49" t="n">
        <f aca="false">D31-(D33+D34+D35+D36)</f>
        <v>2266133.66666667</v>
      </c>
      <c r="E38" s="49" t="n">
        <f aca="false">E31-(E33+E34+E35+E36)</f>
        <v>6811500</v>
      </c>
    </row>
    <row r="39" customFormat="false" ht="15" hidden="false" customHeight="false" outlineLevel="0" collapsed="false">
      <c r="A39" s="25" t="s">
        <v>273</v>
      </c>
      <c r="B39" s="49" t="n">
        <f aca="false">B31*12</f>
        <v>292728</v>
      </c>
      <c r="C39" s="49" t="n">
        <f aca="false">C31*12</f>
        <v>2927328</v>
      </c>
      <c r="D39" s="49" t="n">
        <f aca="false">D31*12</f>
        <v>29273424</v>
      </c>
      <c r="E39" s="49" t="n">
        <f aca="false">E31*12</f>
        <v>87820272</v>
      </c>
    </row>
    <row r="40" customFormat="false" ht="15" hidden="false" customHeight="false" outlineLevel="0" collapsed="false">
      <c r="A40" s="25" t="s">
        <v>274</v>
      </c>
      <c r="B40" s="49" t="n">
        <f aca="false">B38*12</f>
        <v>245420</v>
      </c>
      <c r="C40" s="49" t="n">
        <f aca="false">C38*12</f>
        <v>2666100</v>
      </c>
      <c r="D40" s="49" t="n">
        <f aca="false">D38*12</f>
        <v>27193604</v>
      </c>
      <c r="E40" s="49" t="n">
        <f aca="false">E38*12</f>
        <v>81738000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22.05" hidden="false" customHeight="false" outlineLevel="0" collapsed="false">
      <c r="A1" s="1" t="s">
        <v>275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276</v>
      </c>
      <c r="B2" s="2"/>
      <c r="C2" s="2"/>
      <c r="D2" s="2"/>
      <c r="E2" s="2"/>
    </row>
    <row r="4" customFormat="false" ht="16.15" hidden="false" customHeight="false" outlineLevel="0" collapsed="false">
      <c r="A4" s="17" t="s">
        <v>277</v>
      </c>
      <c r="B4" s="50" t="str">
        <f aca="false">IF(Assumptions!B78=1,"Conservative","Base") &amp; " demand, +" &amp; TEXT(Assumptions!B79,"0") &amp; "pp uplift"</f>
        <v>Base demand, +0pp uplift</v>
      </c>
      <c r="C4" s="50"/>
      <c r="D4" s="50"/>
      <c r="E4" s="50"/>
    </row>
    <row r="5" customFormat="false" ht="15" hidden="false" customHeight="false" outlineLevel="0" collapsed="false">
      <c r="A5" s="0" t="s">
        <v>278</v>
      </c>
      <c r="B5" s="51" t="str">
        <f aca="false">"Rec1=" &amp; Assumptions!B82 &amp; "  Rec2=" &amp; Assumptions!B83 &amp; "  Rec3=" &amp; Assumptions!B84 &amp; "  Rec6=" &amp; Assumptions!B86 &amp; "  Rec7=" &amp; Assumptions!B87 &amp; "  Rec8=" &amp; Assumptions!B88</f>
        <v>Rec1=0  Rec2=0  Rec3=0  Rec6=0  Rec7=0  Rec8=0</v>
      </c>
      <c r="C5" s="51"/>
      <c r="D5" s="51"/>
      <c r="E5" s="51"/>
    </row>
    <row r="7" customFormat="false" ht="28.35" hidden="false" customHeight="false" outlineLevel="0" collapsed="false">
      <c r="A7" s="10" t="s">
        <v>279</v>
      </c>
      <c r="B7" s="10" t="s">
        <v>280</v>
      </c>
      <c r="C7" s="10" t="s">
        <v>281</v>
      </c>
      <c r="D7" s="10" t="s">
        <v>282</v>
      </c>
    </row>
    <row r="8" customFormat="false" ht="15" hidden="false" customHeight="false" outlineLevel="0" collapsed="false">
      <c r="A8" s="52" t="s">
        <v>242</v>
      </c>
      <c r="B8" s="40" t="n">
        <f aca="false">Results!B39</f>
        <v>292728</v>
      </c>
      <c r="C8" s="40" t="n">
        <f aca="false">Results!B40</f>
        <v>245420</v>
      </c>
      <c r="D8" s="40" t="n">
        <f aca="false">Results!B40/100</f>
        <v>2454.2</v>
      </c>
    </row>
    <row r="9" customFormat="false" ht="15" hidden="false" customHeight="false" outlineLevel="0" collapsed="false">
      <c r="A9" s="52" t="s">
        <v>243</v>
      </c>
      <c r="B9" s="40" t="n">
        <f aca="false">Results!C39</f>
        <v>2927328</v>
      </c>
      <c r="C9" s="40" t="n">
        <f aca="false">Results!C40</f>
        <v>2666100</v>
      </c>
      <c r="D9" s="40" t="n">
        <f aca="false">Results!C40/1000</f>
        <v>2666.1</v>
      </c>
    </row>
    <row r="10" customFormat="false" ht="15" hidden="false" customHeight="false" outlineLevel="0" collapsed="false">
      <c r="A10" s="52" t="s">
        <v>244</v>
      </c>
      <c r="B10" s="40" t="n">
        <f aca="false">Results!D39</f>
        <v>29273424</v>
      </c>
      <c r="C10" s="40" t="n">
        <f aca="false">Results!D40</f>
        <v>27193604</v>
      </c>
      <c r="D10" s="40" t="n">
        <f aca="false">Results!D40/10000</f>
        <v>2719.3604</v>
      </c>
    </row>
    <row r="11" customFormat="false" ht="15" hidden="false" customHeight="false" outlineLevel="0" collapsed="false">
      <c r="A11" s="52" t="s">
        <v>245</v>
      </c>
      <c r="B11" s="40" t="n">
        <f aca="false">Results!E39</f>
        <v>87820272</v>
      </c>
      <c r="C11" s="40" t="n">
        <f aca="false">Results!E40</f>
        <v>81738000</v>
      </c>
      <c r="D11" s="40" t="n">
        <f aca="false">Results!E40/30000</f>
        <v>2724.6</v>
      </c>
    </row>
    <row r="13" customFormat="false" ht="16.15" hidden="false" customHeight="false" outlineLevel="0" collapsed="false">
      <c r="A13" s="17" t="s">
        <v>283</v>
      </c>
    </row>
    <row r="14" customFormat="false" ht="15" hidden="false" customHeight="false" outlineLevel="0" collapsed="false">
      <c r="A14" s="0" t="s">
        <v>29</v>
      </c>
      <c r="B14" s="53" t="n">
        <f aca="false">SUMPRODUCT(Assumptions!C32:C36+Assumptions!B79/100,IF(Assumptions!B78=1,Assumptions!F40:F44,Assumptions!B40:B44))</f>
        <v>0.1476</v>
      </c>
    </row>
    <row r="15" customFormat="false" ht="15" hidden="false" customHeight="false" outlineLevel="0" collapsed="false">
      <c r="A15" s="0" t="s">
        <v>30</v>
      </c>
      <c r="B15" s="53" t="n">
        <f aca="false">SUMPRODUCT(Assumptions!D32:D36+Assumptions!B79/100,IF(Assumptions!B78=1,Assumptions!G40:G44,Assumptions!C40:C44))</f>
        <v>0.08925</v>
      </c>
    </row>
    <row r="16" customFormat="false" ht="15" hidden="false" customHeight="false" outlineLevel="0" collapsed="false">
      <c r="A16" s="0" t="s">
        <v>31</v>
      </c>
      <c r="B16" s="53" t="n">
        <f aca="false">SUMPRODUCT(Assumptions!E32:E36+Assumptions!B79/100,IF(Assumptions!B78=1,Assumptions!H40:H44,Assumptions!D40:D44))</f>
        <v>0.059</v>
      </c>
    </row>
    <row r="17" customFormat="false" ht="15" hidden="false" customHeight="false" outlineLevel="0" collapsed="false">
      <c r="A17" s="0" t="s">
        <v>284</v>
      </c>
      <c r="B17" s="53" t="n">
        <f aca="false">Assumptions!B55*Assumptions!B58+Assumptions!B56*Assumptions!B59+Assumptions!B57*Assumptions!B60</f>
        <v>0.04475</v>
      </c>
    </row>
  </sheetData>
  <mergeCells count="4">
    <mergeCell ref="A1:E1"/>
    <mergeCell ref="A2:E2"/>
    <mergeCell ref="B4:E4"/>
    <mergeCell ref="B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54" t="s">
        <v>285</v>
      </c>
    </row>
    <row r="2" customFormat="false" ht="15" hidden="false" customHeight="false" outlineLevel="0" collapsed="false">
      <c r="A2" s="12"/>
    </row>
    <row r="3" customFormat="false" ht="16.15" hidden="false" customHeight="false" outlineLevel="0" collapsed="false">
      <c r="A3" s="17" t="s">
        <v>286</v>
      </c>
    </row>
    <row r="4" customFormat="false" ht="15" hidden="false" customHeight="false" outlineLevel="0" collapsed="false">
      <c r="A4" s="12" t="s">
        <v>287</v>
      </c>
    </row>
    <row r="5" customFormat="false" ht="15" hidden="false" customHeight="false" outlineLevel="0" collapsed="false">
      <c r="A5" s="12" t="s">
        <v>288</v>
      </c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12" t="s">
        <v>289</v>
      </c>
    </row>
    <row r="8" customFormat="false" ht="15" hidden="false" customHeight="false" outlineLevel="0" collapsed="false">
      <c r="A8" s="12" t="s">
        <v>290</v>
      </c>
    </row>
    <row r="9" customFormat="false" ht="15" hidden="false" customHeight="false" outlineLevel="0" collapsed="false">
      <c r="A9" s="12" t="s">
        <v>291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2" t="s">
        <v>292</v>
      </c>
    </row>
    <row r="12" customFormat="false" ht="15" hidden="false" customHeight="false" outlineLevel="0" collapsed="false">
      <c r="A12" s="12" t="s">
        <v>293</v>
      </c>
    </row>
    <row r="13" customFormat="false" ht="15" hidden="false" customHeight="false" outlineLevel="0" collapsed="false">
      <c r="A13" s="12" t="s">
        <v>294</v>
      </c>
    </row>
    <row r="14" customFormat="false" ht="15" hidden="false" customHeight="false" outlineLevel="0" collapsed="false">
      <c r="A14" s="12" t="s">
        <v>295</v>
      </c>
    </row>
    <row r="15" customFormat="false" ht="15" hidden="false" customHeight="false" outlineLevel="0" collapsed="false">
      <c r="A15" s="12" t="s">
        <v>296</v>
      </c>
    </row>
    <row r="16" customFormat="false" ht="15" hidden="false" customHeight="false" outlineLevel="0" collapsed="false">
      <c r="A16" s="12" t="s">
        <v>297</v>
      </c>
    </row>
    <row r="17" customFormat="false" ht="15" hidden="false" customHeight="false" outlineLevel="0" collapsed="false">
      <c r="A17" s="12" t="s">
        <v>298</v>
      </c>
    </row>
    <row r="18" customFormat="false" ht="15" hidden="false" customHeight="false" outlineLevel="0" collapsed="false">
      <c r="A18" s="12"/>
    </row>
    <row r="19" customFormat="false" ht="16.15" hidden="false" customHeight="false" outlineLevel="0" collapsed="false">
      <c r="A19" s="17" t="s">
        <v>299</v>
      </c>
    </row>
    <row r="20" customFormat="false" ht="15" hidden="false" customHeight="false" outlineLevel="0" collapsed="false">
      <c r="A20" s="12" t="s">
        <v>300</v>
      </c>
    </row>
    <row r="21" customFormat="false" ht="15" hidden="false" customHeight="false" outlineLevel="0" collapsed="false">
      <c r="A21" s="12" t="s">
        <v>301</v>
      </c>
    </row>
    <row r="22" customFormat="false" ht="15" hidden="false" customHeight="false" outlineLevel="0" collapsed="false">
      <c r="A22" s="12" t="s">
        <v>302</v>
      </c>
    </row>
    <row r="23" customFormat="false" ht="15" hidden="false" customHeight="false" outlineLevel="0" collapsed="false">
      <c r="A23" s="12" t="s">
        <v>303</v>
      </c>
    </row>
    <row r="24" customFormat="false" ht="15" hidden="false" customHeight="false" outlineLevel="0" collapsed="false">
      <c r="A24" s="12"/>
    </row>
    <row r="25" customFormat="false" ht="16.15" hidden="false" customHeight="false" outlineLevel="0" collapsed="false">
      <c r="A25" s="17" t="s">
        <v>304</v>
      </c>
    </row>
    <row r="26" customFormat="false" ht="15" hidden="false" customHeight="false" outlineLevel="0" collapsed="false">
      <c r="A26" s="12" t="s">
        <v>305</v>
      </c>
    </row>
    <row r="27" customFormat="false" ht="15" hidden="false" customHeight="false" outlineLevel="0" collapsed="false">
      <c r="A27" s="12" t="s">
        <v>306</v>
      </c>
    </row>
    <row r="28" customFormat="false" ht="15" hidden="false" customHeight="false" outlineLevel="0" collapsed="false">
      <c r="A28" s="12" t="s">
        <v>307</v>
      </c>
    </row>
    <row r="29" customFormat="false" ht="15" hidden="false" customHeight="false" outlineLevel="0" collapsed="false">
      <c r="A29" s="12" t="s">
        <v>308</v>
      </c>
    </row>
    <row r="30" customFormat="false" ht="15" hidden="false" customHeight="false" outlineLevel="0" collapsed="false">
      <c r="A30" s="12" t="s">
        <v>309</v>
      </c>
    </row>
    <row r="31" customFormat="false" ht="15" hidden="false" customHeight="false" outlineLevel="0" collapsed="false">
      <c r="A31" s="12"/>
    </row>
    <row r="32" customFormat="false" ht="16.15" hidden="false" customHeight="false" outlineLevel="0" collapsed="false">
      <c r="A32" s="17" t="s">
        <v>310</v>
      </c>
    </row>
    <row r="33" customFormat="false" ht="15" hidden="false" customHeight="false" outlineLevel="0" collapsed="false">
      <c r="A33" s="12" t="s">
        <v>311</v>
      </c>
    </row>
    <row r="34" customFormat="false" ht="15" hidden="false" customHeight="false" outlineLevel="0" collapsed="false">
      <c r="A34" s="12" t="s">
        <v>312</v>
      </c>
    </row>
    <row r="35" customFormat="false" ht="15" hidden="false" customHeight="false" outlineLevel="0" collapsed="false">
      <c r="A35" s="12" t="s">
        <v>313</v>
      </c>
    </row>
    <row r="36" customFormat="false" ht="15" hidden="false" customHeight="false" outlineLevel="0" collapsed="false">
      <c r="A36" s="12" t="s">
        <v>314</v>
      </c>
    </row>
    <row r="37" customFormat="false" ht="15" hidden="false" customHeight="false" outlineLevel="0" collapsed="false">
      <c r="A37" s="12" t="s">
        <v>315</v>
      </c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 t="s">
        <v>316</v>
      </c>
    </row>
    <row r="40" customFormat="false" ht="15" hidden="false" customHeight="false" outlineLevel="0" collapsed="false">
      <c r="A40" s="12"/>
    </row>
    <row r="41" customFormat="false" ht="16.15" hidden="false" customHeight="false" outlineLevel="0" collapsed="false">
      <c r="A41" s="17" t="s">
        <v>317</v>
      </c>
    </row>
    <row r="42" customFormat="false" ht="15" hidden="false" customHeight="false" outlineLevel="0" collapsed="false">
      <c r="A42" s="12" t="s">
        <v>318</v>
      </c>
    </row>
    <row r="43" customFormat="false" ht="15" hidden="false" customHeight="false" outlineLevel="0" collapsed="false">
      <c r="A43" s="12" t="s">
        <v>319</v>
      </c>
    </row>
    <row r="44" customFormat="false" ht="15" hidden="false" customHeight="false" outlineLevel="0" collapsed="false">
      <c r="A44" s="12"/>
    </row>
    <row r="45" customFormat="false" ht="16.15" hidden="false" customHeight="false" outlineLevel="0" collapsed="false">
      <c r="A45" s="17" t="s">
        <v>320</v>
      </c>
    </row>
    <row r="46" customFormat="false" ht="15" hidden="false" customHeight="false" outlineLevel="0" collapsed="false">
      <c r="A46" s="12" t="s">
        <v>321</v>
      </c>
    </row>
    <row r="47" customFormat="false" ht="15" hidden="false" customHeight="false" outlineLevel="0" collapsed="false">
      <c r="A47" s="1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2026-06-05T03:19:05Z</dcterms:created>
  <dc:creator>openpyxl</dc:creator>
  <dc:description/>
  <dc:language>en-US</dc:language>
  <cp:lastModifiedBy/>
  <dcterms:modified xsi:type="dcterms:W3CDTF">2026-06-05T03:19:05Z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